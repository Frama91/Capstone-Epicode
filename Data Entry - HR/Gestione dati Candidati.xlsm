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\Desktop\Portfolio\Data Entry - HR\"/>
    </mc:Choice>
  </mc:AlternateContent>
  <xr:revisionPtr revIDLastSave="0" documentId="13_ncr:1_{D70D303A-BE7D-471D-AE8F-E73626099639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Gestione" sheetId="1" r:id="rId1"/>
    <sheet name="Analisi Candidati" sheetId="5" r:id="rId2"/>
    <sheet name="Dati Candidati" sheetId="2" r:id="rId3"/>
  </sheets>
  <definedNames>
    <definedName name="DatiEsterni_1" localSheetId="2" hidden="1">'Dati Candidati'!$B$1:$I$251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" i="1" l="1" a="1"/>
  <c r="T1" i="1" s="1"/>
  <c r="F28" i="5" a="1"/>
  <c r="F28" i="5" s="1"/>
  <c r="E28" i="5" a="1"/>
  <c r="E28" i="5" s="1"/>
  <c r="C28" i="5" a="1"/>
  <c r="C28" i="5" s="1"/>
  <c r="B28" i="5" a="1"/>
  <c r="B28" i="5" s="1"/>
  <c r="V1" i="5" a="1"/>
  <c r="V1" i="5" s="1"/>
  <c r="U1" i="5" a="1"/>
  <c r="U1" i="5" s="1"/>
  <c r="L25" i="5"/>
  <c r="K25" i="5"/>
  <c r="B13" i="5" a="1"/>
  <c r="B13" i="5" s="1"/>
  <c r="B9" i="5" a="1"/>
  <c r="B9" i="5" s="1"/>
  <c r="B18" i="5" a="1"/>
  <c r="B18" i="5" s="1"/>
  <c r="T1" i="5" a="1"/>
  <c r="T1" i="5" s="1"/>
  <c r="S1" i="5" a="1"/>
  <c r="S1" i="5" s="1"/>
  <c r="E25" i="5" l="1"/>
  <c r="F25" i="5"/>
  <c r="B25" i="5"/>
  <c r="C25" i="5"/>
  <c r="K9" i="5"/>
  <c r="K13" i="5"/>
  <c r="S1" i="1" a="1"/>
  <c r="S1" i="1" s="1"/>
  <c r="R1" i="1" a="1"/>
  <c r="R1" i="1" s="1"/>
  <c r="Q2" i="1"/>
  <c r="C26" i="1" a="1"/>
  <c r="C2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F7807-834B-48FE-AC05-06F8A9B24A23}" keepAlive="1" name="Query - Candidati" description="Connessione alla query 'Candidati' nella cartella di lavoro." type="5" refreshedVersion="8" background="1" saveData="1">
    <dbPr connection="Provider=Microsoft.Mashup.OleDb.1;Data Source=$Workbook$;Location=Candidati;Extended Properties=&quot;&quot;" command="SELECT * FROM [Candidati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<sst xmlns="http://schemas.openxmlformats.org/spreadsheetml/2006/main" count="1842" uniqueCount="636">
  <si>
    <t>Nome</t>
  </si>
  <si>
    <t>Cognome</t>
  </si>
  <si>
    <t>Data di nascita</t>
  </si>
  <si>
    <t>Genere</t>
  </si>
  <si>
    <t>CF</t>
  </si>
  <si>
    <t>Posizione precedente</t>
  </si>
  <si>
    <t>Data candidatura</t>
  </si>
  <si>
    <t>Posizione ricercata</t>
  </si>
  <si>
    <t>Ludovica</t>
  </si>
  <si>
    <t>Giordano</t>
  </si>
  <si>
    <t>F</t>
  </si>
  <si>
    <t>LUDGIO03F234</t>
  </si>
  <si>
    <t>Esperto di DevOps</t>
  </si>
  <si>
    <t>Analista QA (Quality Assurance)</t>
  </si>
  <si>
    <t>Lara</t>
  </si>
  <si>
    <t>Caruso</t>
  </si>
  <si>
    <t>LARCAR02F205</t>
  </si>
  <si>
    <t>Web developer</t>
  </si>
  <si>
    <t>Amministratore del database</t>
  </si>
  <si>
    <t>Martina</t>
  </si>
  <si>
    <t>Mancini</t>
  </si>
  <si>
    <t>MARMAN92F335</t>
  </si>
  <si>
    <t>Specialista di machine learning</t>
  </si>
  <si>
    <t>Camilla</t>
  </si>
  <si>
    <t>Bianchi</t>
  </si>
  <si>
    <t>CAMBIA90F356</t>
  </si>
  <si>
    <t>Ingegnere del software back-end</t>
  </si>
  <si>
    <t>Ingegnere del software embedded</t>
  </si>
  <si>
    <t>Matteo</t>
  </si>
  <si>
    <t>Mariani</t>
  </si>
  <si>
    <t>M</t>
  </si>
  <si>
    <t>MATMAR03M955</t>
  </si>
  <si>
    <t>Specialista di reti neurali</t>
  </si>
  <si>
    <t>Luigi</t>
  </si>
  <si>
    <t>LUIBIA02M160</t>
  </si>
  <si>
    <t>Alessia</t>
  </si>
  <si>
    <t>Ferrara</t>
  </si>
  <si>
    <t>ALEFER99F445</t>
  </si>
  <si>
    <t>Esperto di sicurezza informatica</t>
  </si>
  <si>
    <t>Filippo</t>
  </si>
  <si>
    <t>Gallo</t>
  </si>
  <si>
    <t>FILGAL04M354</t>
  </si>
  <si>
    <t>Architetto software</t>
  </si>
  <si>
    <t>Chiara</t>
  </si>
  <si>
    <t>Rossi</t>
  </si>
  <si>
    <t>CHIROS97F637</t>
  </si>
  <si>
    <t>Ingegnere di rete</t>
  </si>
  <si>
    <t>Esperto di intelligenza artificiale</t>
  </si>
  <si>
    <t>Emma</t>
  </si>
  <si>
    <t>Esposito</t>
  </si>
  <si>
    <t>EMMESP90F253</t>
  </si>
  <si>
    <t>Ingegnere del firmware</t>
  </si>
  <si>
    <t>Giorgia</t>
  </si>
  <si>
    <t>Colombo</t>
  </si>
  <si>
    <t>GIOCOL92F390</t>
  </si>
  <si>
    <t>Sofia</t>
  </si>
  <si>
    <t>SOFMAN97F492</t>
  </si>
  <si>
    <t>Ingegnere del software</t>
  </si>
  <si>
    <t>Riccardo</t>
  </si>
  <si>
    <t>Moretti</t>
  </si>
  <si>
    <t>RICMOR98M529</t>
  </si>
  <si>
    <t>Amministratore di sistema</t>
  </si>
  <si>
    <t>Francesca</t>
  </si>
  <si>
    <t>Conti</t>
  </si>
  <si>
    <t>FRACON96F288</t>
  </si>
  <si>
    <t>Analista di sicurezza informatica</t>
  </si>
  <si>
    <t>De Luca</t>
  </si>
  <si>
    <t>LUDDE97F392</t>
  </si>
  <si>
    <t>Ingegnere del software front-end</t>
  </si>
  <si>
    <t>Simone</t>
  </si>
  <si>
    <t>SIMROS02M816</t>
  </si>
  <si>
    <t>Ricci</t>
  </si>
  <si>
    <t>GIORIC01F605</t>
  </si>
  <si>
    <t>Ingegnere del software mobile</t>
  </si>
  <si>
    <t>Francesco</t>
  </si>
  <si>
    <t>Bruno</t>
  </si>
  <si>
    <t>FRABRU93M363</t>
  </si>
  <si>
    <t>Analista di business intelligence</t>
  </si>
  <si>
    <t>Data scientist</t>
  </si>
  <si>
    <t>Emanuele</t>
  </si>
  <si>
    <t>EMAMAN94M408</t>
  </si>
  <si>
    <t>Roberta</t>
  </si>
  <si>
    <t>Costa</t>
  </si>
  <si>
    <t>ROBCOS93F649</t>
  </si>
  <si>
    <t>Federico</t>
  </si>
  <si>
    <t>FEDBRU94M175</t>
  </si>
  <si>
    <t>Aurora</t>
  </si>
  <si>
    <t>AURDE93F137</t>
  </si>
  <si>
    <t>ALEGAL96F138</t>
  </si>
  <si>
    <t>Sviluppatore software</t>
  </si>
  <si>
    <t>Galli</t>
  </si>
  <si>
    <t>MARGAL90F102</t>
  </si>
  <si>
    <t>Greta</t>
  </si>
  <si>
    <t>GREDE94F198</t>
  </si>
  <si>
    <t>Ingegnere dei sistemi embedded</t>
  </si>
  <si>
    <t>Tommaso</t>
  </si>
  <si>
    <t>Leone</t>
  </si>
  <si>
    <t>TOMLEO93M610</t>
  </si>
  <si>
    <t>Christian</t>
  </si>
  <si>
    <t>CHRMOR99M614</t>
  </si>
  <si>
    <t>Project manager IT</t>
  </si>
  <si>
    <t>CAMLEO96F983</t>
  </si>
  <si>
    <t>MATMAN92M831</t>
  </si>
  <si>
    <t>Martini</t>
  </si>
  <si>
    <t>GREMAR00F219</t>
  </si>
  <si>
    <t>MATCOL94M196</t>
  </si>
  <si>
    <t>Lombardi</t>
  </si>
  <si>
    <t>SIMLOM92M823</t>
  </si>
  <si>
    <t>Elisa</t>
  </si>
  <si>
    <t>ELIROS97F511</t>
  </si>
  <si>
    <t>Gabriele</t>
  </si>
  <si>
    <t>GABMAR99M610</t>
  </si>
  <si>
    <t>Giovanni</t>
  </si>
  <si>
    <t>GIOESP93M683</t>
  </si>
  <si>
    <t>Giulia</t>
  </si>
  <si>
    <t>Romano</t>
  </si>
  <si>
    <t>GIUROM01F393</t>
  </si>
  <si>
    <t>RICMAR00M801</t>
  </si>
  <si>
    <t>Elena</t>
  </si>
  <si>
    <t>ELERIC03F980</t>
  </si>
  <si>
    <t>Andrea</t>
  </si>
  <si>
    <t>ANDRIC98M177</t>
  </si>
  <si>
    <t>Marta</t>
  </si>
  <si>
    <t>MARLOM95F373</t>
  </si>
  <si>
    <t>LUIMAR98M526</t>
  </si>
  <si>
    <t>Rinaldi</t>
  </si>
  <si>
    <t>EMARIN98M625</t>
  </si>
  <si>
    <t>Barbieri</t>
  </si>
  <si>
    <t>GIOBAR93M843</t>
  </si>
  <si>
    <t>Michele</t>
  </si>
  <si>
    <t>Russo</t>
  </si>
  <si>
    <t>MICRUS01M490</t>
  </si>
  <si>
    <t>Sara</t>
  </si>
  <si>
    <t>Marino</t>
  </si>
  <si>
    <t>SARMAR92F404</t>
  </si>
  <si>
    <t>CHRBIA96M770</t>
  </si>
  <si>
    <t>Antonio</t>
  </si>
  <si>
    <t>ANTGAL03M250</t>
  </si>
  <si>
    <t>Leonardo</t>
  </si>
  <si>
    <t>LEOCON93M459</t>
  </si>
  <si>
    <t>MATRUS98M989</t>
  </si>
  <si>
    <t>TOMBIA94M436</t>
  </si>
  <si>
    <t>CHIBRU01F569</t>
  </si>
  <si>
    <t>Marco</t>
  </si>
  <si>
    <t>MARCOS95M209</t>
  </si>
  <si>
    <t>Davide</t>
  </si>
  <si>
    <t>DAVLOM95M202</t>
  </si>
  <si>
    <t>Analista dati</t>
  </si>
  <si>
    <t>Niccolò</t>
  </si>
  <si>
    <t>NICGAL92M595</t>
  </si>
  <si>
    <t>Santoro</t>
  </si>
  <si>
    <t>ELISAN99F325</t>
  </si>
  <si>
    <t>Luca</t>
  </si>
  <si>
    <t>LUCCOS91M230</t>
  </si>
  <si>
    <t>Enrico</t>
  </si>
  <si>
    <t>ENRROM90M235</t>
  </si>
  <si>
    <t>ENRBAR04M863</t>
  </si>
  <si>
    <t>LEOMAR96M118</t>
  </si>
  <si>
    <t>CAMRIC94F243</t>
  </si>
  <si>
    <t>LUIBAR90M709</t>
  </si>
  <si>
    <t>MARGIO92M915</t>
  </si>
  <si>
    <t>Ferrari</t>
  </si>
  <si>
    <t>GABFER91M441</t>
  </si>
  <si>
    <t>Alice</t>
  </si>
  <si>
    <t>Fontana</t>
  </si>
  <si>
    <t>ALIFON03F447</t>
  </si>
  <si>
    <t>ALEMAR00F950</t>
  </si>
  <si>
    <t>Isabella</t>
  </si>
  <si>
    <t>ISAMAR96F288</t>
  </si>
  <si>
    <t>ANDSAN98M684</t>
  </si>
  <si>
    <t>SARDE91F202</t>
  </si>
  <si>
    <t>Alberto</t>
  </si>
  <si>
    <t>ALBCON91M938</t>
  </si>
  <si>
    <t>ANDCOL98M734</t>
  </si>
  <si>
    <t>LARBRU00F915</t>
  </si>
  <si>
    <t>SIMRIC99M159</t>
  </si>
  <si>
    <t>LUIDE92M212</t>
  </si>
  <si>
    <t>Lorenzo</t>
  </si>
  <si>
    <t>LORRUS00M677</t>
  </si>
  <si>
    <t>RICRIC93M338</t>
  </si>
  <si>
    <t>GIOROS90M519</t>
  </si>
  <si>
    <t>SOFRIC97F217</t>
  </si>
  <si>
    <t>MARCAR94F654</t>
  </si>
  <si>
    <t>AURROM99F702</t>
  </si>
  <si>
    <t>GABRUS91M136</t>
  </si>
  <si>
    <t>MARCON99F541</t>
  </si>
  <si>
    <t>CAMSAN99F705</t>
  </si>
  <si>
    <t>Beatrice</t>
  </si>
  <si>
    <t>BEALEO90F621</t>
  </si>
  <si>
    <t>RICLEO03M349</t>
  </si>
  <si>
    <t>FILCOS96M206</t>
  </si>
  <si>
    <t>GIOLEO91F668</t>
  </si>
  <si>
    <t>Giuseppe</t>
  </si>
  <si>
    <t>GIUDE04M846</t>
  </si>
  <si>
    <t>LORBIA91M857</t>
  </si>
  <si>
    <t>Caterina</t>
  </si>
  <si>
    <t>CATLEO02F346</t>
  </si>
  <si>
    <t>MARFER92M609</t>
  </si>
  <si>
    <t>SIMCOL91M224</t>
  </si>
  <si>
    <t>Laura</t>
  </si>
  <si>
    <t>LAUBIA90F397</t>
  </si>
  <si>
    <t>SARESP94F483</t>
  </si>
  <si>
    <t>ELIESP96F502</t>
  </si>
  <si>
    <t>MATLEO01M688</t>
  </si>
  <si>
    <t>ELELOM95F545</t>
  </si>
  <si>
    <t>MATCOL01M221</t>
  </si>
  <si>
    <t>ROBMAR94F798</t>
  </si>
  <si>
    <t>LUDCON03F970</t>
  </si>
  <si>
    <t>LARESP93F221</t>
  </si>
  <si>
    <t>SIMMOR95M879</t>
  </si>
  <si>
    <t>LARMAR02F372</t>
  </si>
  <si>
    <t>GIUMAR90M489</t>
  </si>
  <si>
    <t>LARFER00F803</t>
  </si>
  <si>
    <t>MARMAR04F961</t>
  </si>
  <si>
    <t>ALBBIA98M702</t>
  </si>
  <si>
    <t>SIMRIN96M169</t>
  </si>
  <si>
    <t>FRAMOR99F283</t>
  </si>
  <si>
    <t>ISAGIO96F601</t>
  </si>
  <si>
    <t>ENRCOL94M259</t>
  </si>
  <si>
    <t>FILMAN93M494</t>
  </si>
  <si>
    <t>GIUCAR98M415</t>
  </si>
  <si>
    <t>ANTGAL94M783</t>
  </si>
  <si>
    <t>BEALOM00F894</t>
  </si>
  <si>
    <t>BEARUS98F488</t>
  </si>
  <si>
    <t>FRARIN99M237</t>
  </si>
  <si>
    <t>ALBBAR95M416</t>
  </si>
  <si>
    <t>GIURUS93M677</t>
  </si>
  <si>
    <t>LORRIC02M655</t>
  </si>
  <si>
    <t>GIOBIA01F544</t>
  </si>
  <si>
    <t>CAMGAL04F600</t>
  </si>
  <si>
    <t>MARFON02F341</t>
  </si>
  <si>
    <t>Alessandro</t>
  </si>
  <si>
    <t>ALEFON95M133</t>
  </si>
  <si>
    <t>MARMAR94F175</t>
  </si>
  <si>
    <t>SIMMAR96M960</t>
  </si>
  <si>
    <t>LORMAR96M265</t>
  </si>
  <si>
    <t>MARRIC99F444</t>
  </si>
  <si>
    <t>GIOCOS99M142</t>
  </si>
  <si>
    <t>FRARIC92M176</t>
  </si>
  <si>
    <t>MICCON97M180</t>
  </si>
  <si>
    <t>ALBCOL93M115</t>
  </si>
  <si>
    <t>Greco</t>
  </si>
  <si>
    <t>GIUGRE90F240</t>
  </si>
  <si>
    <t>NICRUS01M631</t>
  </si>
  <si>
    <t>LARRIN97F278</t>
  </si>
  <si>
    <t>GABLOM94M175</t>
  </si>
  <si>
    <t>ALEBRU02M617</t>
  </si>
  <si>
    <t>RICMAR92M790</t>
  </si>
  <si>
    <t>RICMAN01M751</t>
  </si>
  <si>
    <t>LEOCON96M681</t>
  </si>
  <si>
    <t>FEDRUS95M885</t>
  </si>
  <si>
    <t>ROBGAL04F179</t>
  </si>
  <si>
    <t>LEOBAR03M965</t>
  </si>
  <si>
    <t>ALEMAR96M346</t>
  </si>
  <si>
    <t>ELISAN91F816</t>
  </si>
  <si>
    <t>ISAESP03F685</t>
  </si>
  <si>
    <t>MARLOM91F339</t>
  </si>
  <si>
    <t>FRARIN95M650</t>
  </si>
  <si>
    <t>MICGAL98M461</t>
  </si>
  <si>
    <t>SOFLOM93F980</t>
  </si>
  <si>
    <t>ELIBRU00F786</t>
  </si>
  <si>
    <t>Eleonora</t>
  </si>
  <si>
    <t>ELEGAL93F997</t>
  </si>
  <si>
    <t>CAMGIO97F638</t>
  </si>
  <si>
    <t>ROBLEO97F545</t>
  </si>
  <si>
    <t>LARMOR96F548</t>
  </si>
  <si>
    <t>CATSAN02F258</t>
  </si>
  <si>
    <t>MARLOM90F901</t>
  </si>
  <si>
    <t>LEOLEO96M958</t>
  </si>
  <si>
    <t>CHIRUS94F280</t>
  </si>
  <si>
    <t>FEDLEO99M532</t>
  </si>
  <si>
    <t>MARCOL95F466</t>
  </si>
  <si>
    <t>GIOSAN93M901</t>
  </si>
  <si>
    <t>MARFER00M263</t>
  </si>
  <si>
    <t>ELILEO03F199</t>
  </si>
  <si>
    <t>GIOCAR96M458</t>
  </si>
  <si>
    <t>SIMFON95M258</t>
  </si>
  <si>
    <t>Rizzo</t>
  </si>
  <si>
    <t>FILRIZ02M886</t>
  </si>
  <si>
    <t>CATRIC94F545</t>
  </si>
  <si>
    <t>NICCON90M598</t>
  </si>
  <si>
    <t>RICFON03M346</t>
  </si>
  <si>
    <t>GREGIO90F432</t>
  </si>
  <si>
    <t>CAMLEO00F968</t>
  </si>
  <si>
    <t>ANTGAL01M771</t>
  </si>
  <si>
    <t>GABFER03M509</t>
  </si>
  <si>
    <t>RICRIN95M764</t>
  </si>
  <si>
    <t>ANTLEO01M162</t>
  </si>
  <si>
    <t>LUIRIN95M647</t>
  </si>
  <si>
    <t>EMABIA96M450</t>
  </si>
  <si>
    <t>LEOESP02M663</t>
  </si>
  <si>
    <t>CAMFER98F287</t>
  </si>
  <si>
    <t>MICFER02M805</t>
  </si>
  <si>
    <t>FRARIZ93M347</t>
  </si>
  <si>
    <t>MARCON91F103</t>
  </si>
  <si>
    <t>GIURIZ03M858</t>
  </si>
  <si>
    <t>CHRMAR97M483</t>
  </si>
  <si>
    <t>LUDLOM95F377</t>
  </si>
  <si>
    <t>NICESP02M132</t>
  </si>
  <si>
    <t>MARGAL90F517</t>
  </si>
  <si>
    <t>FEDMAN96M688</t>
  </si>
  <si>
    <t>GRERIC91F471</t>
  </si>
  <si>
    <t>GREROS03F986</t>
  </si>
  <si>
    <t>TOMBAR04M987</t>
  </si>
  <si>
    <t>ALBFON91M134</t>
  </si>
  <si>
    <t>MARROS98F871</t>
  </si>
  <si>
    <t>LAUGAL01F152</t>
  </si>
  <si>
    <t>ANDRUS93M627</t>
  </si>
  <si>
    <t>ROBMAR95F875</t>
  </si>
  <si>
    <t>FRAFON91F402</t>
  </si>
  <si>
    <t>GIOMOR01M227</t>
  </si>
  <si>
    <t>GIORIN93F437</t>
  </si>
  <si>
    <t>ALERUS04M411</t>
  </si>
  <si>
    <t>MARDE99F631</t>
  </si>
  <si>
    <t>CAMGIO03F824</t>
  </si>
  <si>
    <t>GIUMAR99F403</t>
  </si>
  <si>
    <t>LEOCAR90M659</t>
  </si>
  <si>
    <t>Valentina</t>
  </si>
  <si>
    <t>VALFER93F565</t>
  </si>
  <si>
    <t>GIORUS90M657</t>
  </si>
  <si>
    <t>GIUMAN94M813</t>
  </si>
  <si>
    <t>ANDCON04M911</t>
  </si>
  <si>
    <t>AURRIN98F945</t>
  </si>
  <si>
    <t>BEAMAR00F106</t>
  </si>
  <si>
    <t>GABLOM03M131</t>
  </si>
  <si>
    <t>ROBROM98F455</t>
  </si>
  <si>
    <t>LUIRIC98M154</t>
  </si>
  <si>
    <t>MARGIO01F152</t>
  </si>
  <si>
    <t>LUIESP91M575</t>
  </si>
  <si>
    <t>CHIBRU90F874</t>
  </si>
  <si>
    <t>ANDGIO94M592</t>
  </si>
  <si>
    <t>ISACON94F279</t>
  </si>
  <si>
    <t>SOFMOR92F618</t>
  </si>
  <si>
    <t>FRAESP95F726</t>
  </si>
  <si>
    <t>ELICOS91F436</t>
  </si>
  <si>
    <t>FILGAL97M541</t>
  </si>
  <si>
    <t>ISAMAR99F280</t>
  </si>
  <si>
    <t>ALBCOS95M957</t>
  </si>
  <si>
    <t>GIUESP04F625</t>
  </si>
  <si>
    <t>ISALEO99F802</t>
  </si>
  <si>
    <t>EMMESP04F552</t>
  </si>
  <si>
    <t>ANTCOL91M556</t>
  </si>
  <si>
    <t>LORBIA91M470</t>
  </si>
  <si>
    <t>ALIRIC04F358</t>
  </si>
  <si>
    <t>LUIDE02M962</t>
  </si>
  <si>
    <t>ISAMAR97F507</t>
  </si>
  <si>
    <t>MICCON93M558</t>
  </si>
  <si>
    <t>GIOCON96M458</t>
  </si>
  <si>
    <t>ENRRIZ92M867</t>
  </si>
  <si>
    <t>FRABIA94F424</t>
  </si>
  <si>
    <t>ELEBRU93F285</t>
  </si>
  <si>
    <t>ENRGAL99M750</t>
  </si>
  <si>
    <t>BEALEO95F366</t>
  </si>
  <si>
    <t>CATLOM00F134</t>
  </si>
  <si>
    <t>ALBMOR95M657</t>
  </si>
  <si>
    <t>EMMGAL94F356</t>
  </si>
  <si>
    <t>VALMAN96F540</t>
  </si>
  <si>
    <t>CHIROS97F922</t>
  </si>
  <si>
    <t>LUDRIN03F450</t>
  </si>
  <si>
    <t>FRAMAR02F794</t>
  </si>
  <si>
    <t>LARGAL96F391</t>
  </si>
  <si>
    <t>ISAESP04F836</t>
  </si>
  <si>
    <t>GIUMAR02F406</t>
  </si>
  <si>
    <t>ALESAN96F583</t>
  </si>
  <si>
    <t>Inserisci nuovi dati</t>
  </si>
  <si>
    <t>Elenco Posizioni</t>
  </si>
  <si>
    <t>Data di Nascita</t>
  </si>
  <si>
    <t>ID Candidato</t>
  </si>
  <si>
    <t>CD-001</t>
  </si>
  <si>
    <t>CD-002</t>
  </si>
  <si>
    <t>CD-003</t>
  </si>
  <si>
    <t>CD-004</t>
  </si>
  <si>
    <t>CD-005</t>
  </si>
  <si>
    <t>CD-006</t>
  </si>
  <si>
    <t>CD-007</t>
  </si>
  <si>
    <t>CD-008</t>
  </si>
  <si>
    <t>CD-009</t>
  </si>
  <si>
    <t>CD-010</t>
  </si>
  <si>
    <t>CD-011</t>
  </si>
  <si>
    <t>CD-012</t>
  </si>
  <si>
    <t>CD-013</t>
  </si>
  <si>
    <t>CD-014</t>
  </si>
  <si>
    <t>CD-015</t>
  </si>
  <si>
    <t>CD-016</t>
  </si>
  <si>
    <t>CD-017</t>
  </si>
  <si>
    <t>CD-018</t>
  </si>
  <si>
    <t>CD-019</t>
  </si>
  <si>
    <t>CD-020</t>
  </si>
  <si>
    <t>CD-021</t>
  </si>
  <si>
    <t>CD-022</t>
  </si>
  <si>
    <t>CD-023</t>
  </si>
  <si>
    <t>CD-024</t>
  </si>
  <si>
    <t>CD-025</t>
  </si>
  <si>
    <t>CD-026</t>
  </si>
  <si>
    <t>CD-027</t>
  </si>
  <si>
    <t>CD-028</t>
  </si>
  <si>
    <t>CD-029</t>
  </si>
  <si>
    <t>CD-030</t>
  </si>
  <si>
    <t>CD-031</t>
  </si>
  <si>
    <t>CD-032</t>
  </si>
  <si>
    <t>CD-033</t>
  </si>
  <si>
    <t>CD-034</t>
  </si>
  <si>
    <t>CD-035</t>
  </si>
  <si>
    <t>CD-036</t>
  </si>
  <si>
    <t>CD-037</t>
  </si>
  <si>
    <t>CD-038</t>
  </si>
  <si>
    <t>CD-039</t>
  </si>
  <si>
    <t>CD-040</t>
  </si>
  <si>
    <t>CD-041</t>
  </si>
  <si>
    <t>CD-042</t>
  </si>
  <si>
    <t>CD-043</t>
  </si>
  <si>
    <t>CD-044</t>
  </si>
  <si>
    <t>CD-045</t>
  </si>
  <si>
    <t>CD-046</t>
  </si>
  <si>
    <t>CD-047</t>
  </si>
  <si>
    <t>CD-048</t>
  </si>
  <si>
    <t>CD-049</t>
  </si>
  <si>
    <t>CD-050</t>
  </si>
  <si>
    <t>CD-051</t>
  </si>
  <si>
    <t>CD-052</t>
  </si>
  <si>
    <t>CD-053</t>
  </si>
  <si>
    <t>CD-054</t>
  </si>
  <si>
    <t>CD-055</t>
  </si>
  <si>
    <t>CD-056</t>
  </si>
  <si>
    <t>CD-057</t>
  </si>
  <si>
    <t>CD-058</t>
  </si>
  <si>
    <t>CD-059</t>
  </si>
  <si>
    <t>CD-060</t>
  </si>
  <si>
    <t>CD-061</t>
  </si>
  <si>
    <t>CD-062</t>
  </si>
  <si>
    <t>CD-063</t>
  </si>
  <si>
    <t>CD-064</t>
  </si>
  <si>
    <t>CD-065</t>
  </si>
  <si>
    <t>CD-066</t>
  </si>
  <si>
    <t>CD-067</t>
  </si>
  <si>
    <t>CD-068</t>
  </si>
  <si>
    <t>CD-069</t>
  </si>
  <si>
    <t>CD-070</t>
  </si>
  <si>
    <t>CD-071</t>
  </si>
  <si>
    <t>CD-072</t>
  </si>
  <si>
    <t>CD-073</t>
  </si>
  <si>
    <t>CD-074</t>
  </si>
  <si>
    <t>CD-075</t>
  </si>
  <si>
    <t>CD-076</t>
  </si>
  <si>
    <t>CD-077</t>
  </si>
  <si>
    <t>CD-078</t>
  </si>
  <si>
    <t>CD-079</t>
  </si>
  <si>
    <t>CD-080</t>
  </si>
  <si>
    <t>CD-081</t>
  </si>
  <si>
    <t>CD-082</t>
  </si>
  <si>
    <t>CD-083</t>
  </si>
  <si>
    <t>CD-084</t>
  </si>
  <si>
    <t>CD-085</t>
  </si>
  <si>
    <t>CD-086</t>
  </si>
  <si>
    <t>CD-087</t>
  </si>
  <si>
    <t>CD-088</t>
  </si>
  <si>
    <t>CD-089</t>
  </si>
  <si>
    <t>CD-090</t>
  </si>
  <si>
    <t>CD-091</t>
  </si>
  <si>
    <t>CD-092</t>
  </si>
  <si>
    <t>CD-093</t>
  </si>
  <si>
    <t>CD-094</t>
  </si>
  <si>
    <t>CD-095</t>
  </si>
  <si>
    <t>CD-096</t>
  </si>
  <si>
    <t>CD-097</t>
  </si>
  <si>
    <t>CD-098</t>
  </si>
  <si>
    <t>CD-099</t>
  </si>
  <si>
    <t>CD-100</t>
  </si>
  <si>
    <t>CD-101</t>
  </si>
  <si>
    <t>CD-102</t>
  </si>
  <si>
    <t>CD-103</t>
  </si>
  <si>
    <t>CD-104</t>
  </si>
  <si>
    <t>CD-105</t>
  </si>
  <si>
    <t>CD-106</t>
  </si>
  <si>
    <t>CD-107</t>
  </si>
  <si>
    <t>CD-108</t>
  </si>
  <si>
    <t>CD-109</t>
  </si>
  <si>
    <t>CD-110</t>
  </si>
  <si>
    <t>CD-111</t>
  </si>
  <si>
    <t>CD-112</t>
  </si>
  <si>
    <t>CD-113</t>
  </si>
  <si>
    <t>CD-114</t>
  </si>
  <si>
    <t>CD-115</t>
  </si>
  <si>
    <t>CD-116</t>
  </si>
  <si>
    <t>CD-117</t>
  </si>
  <si>
    <t>CD-118</t>
  </si>
  <si>
    <t>CD-119</t>
  </si>
  <si>
    <t>CD-120</t>
  </si>
  <si>
    <t>CD-121</t>
  </si>
  <si>
    <t>CD-122</t>
  </si>
  <si>
    <t>CD-123</t>
  </si>
  <si>
    <t>CD-124</t>
  </si>
  <si>
    <t>CD-125</t>
  </si>
  <si>
    <t>CD-126</t>
  </si>
  <si>
    <t>CD-127</t>
  </si>
  <si>
    <t>CD-128</t>
  </si>
  <si>
    <t>CD-129</t>
  </si>
  <si>
    <t>CD-130</t>
  </si>
  <si>
    <t>CD-131</t>
  </si>
  <si>
    <t>CD-132</t>
  </si>
  <si>
    <t>CD-133</t>
  </si>
  <si>
    <t>CD-134</t>
  </si>
  <si>
    <t>CD-135</t>
  </si>
  <si>
    <t>CD-136</t>
  </si>
  <si>
    <t>CD-137</t>
  </si>
  <si>
    <t>CD-138</t>
  </si>
  <si>
    <t>CD-139</t>
  </si>
  <si>
    <t>CD-140</t>
  </si>
  <si>
    <t>CD-141</t>
  </si>
  <si>
    <t>CD-142</t>
  </si>
  <si>
    <t>CD-143</t>
  </si>
  <si>
    <t>CD-144</t>
  </si>
  <si>
    <t>CD-145</t>
  </si>
  <si>
    <t>CD-146</t>
  </si>
  <si>
    <t>CD-147</t>
  </si>
  <si>
    <t>CD-148</t>
  </si>
  <si>
    <t>CD-149</t>
  </si>
  <si>
    <t>CD-150</t>
  </si>
  <si>
    <t>CD-151</t>
  </si>
  <si>
    <t>CD-152</t>
  </si>
  <si>
    <t>CD-153</t>
  </si>
  <si>
    <t>CD-154</t>
  </si>
  <si>
    <t>CD-155</t>
  </si>
  <si>
    <t>CD-156</t>
  </si>
  <si>
    <t>CD-157</t>
  </si>
  <si>
    <t>CD-158</t>
  </si>
  <si>
    <t>CD-159</t>
  </si>
  <si>
    <t>CD-160</t>
  </si>
  <si>
    <t>CD-161</t>
  </si>
  <si>
    <t>CD-162</t>
  </si>
  <si>
    <t>CD-163</t>
  </si>
  <si>
    <t>CD-164</t>
  </si>
  <si>
    <t>CD-165</t>
  </si>
  <si>
    <t>CD-166</t>
  </si>
  <si>
    <t>CD-167</t>
  </si>
  <si>
    <t>CD-168</t>
  </si>
  <si>
    <t>CD-169</t>
  </si>
  <si>
    <t>CD-170</t>
  </si>
  <si>
    <t>CD-171</t>
  </si>
  <si>
    <t>CD-172</t>
  </si>
  <si>
    <t>CD-173</t>
  </si>
  <si>
    <t>CD-174</t>
  </si>
  <si>
    <t>CD-175</t>
  </si>
  <si>
    <t>CD-176</t>
  </si>
  <si>
    <t>CD-177</t>
  </si>
  <si>
    <t>CD-178</t>
  </si>
  <si>
    <t>CD-179</t>
  </si>
  <si>
    <t>CD-180</t>
  </si>
  <si>
    <t>CD-181</t>
  </si>
  <si>
    <t>CD-182</t>
  </si>
  <si>
    <t>CD-183</t>
  </si>
  <si>
    <t>CD-184</t>
  </si>
  <si>
    <t>CD-185</t>
  </si>
  <si>
    <t>CD-186</t>
  </si>
  <si>
    <t>CD-187</t>
  </si>
  <si>
    <t>CD-188</t>
  </si>
  <si>
    <t>CD-189</t>
  </si>
  <si>
    <t>CD-190</t>
  </si>
  <si>
    <t>CD-191</t>
  </si>
  <si>
    <t>CD-192</t>
  </si>
  <si>
    <t>CD-193</t>
  </si>
  <si>
    <t>CD-194</t>
  </si>
  <si>
    <t>CD-195</t>
  </si>
  <si>
    <t>CD-196</t>
  </si>
  <si>
    <t>CD-197</t>
  </si>
  <si>
    <t>CD-198</t>
  </si>
  <si>
    <t>CD-199</t>
  </si>
  <si>
    <t>CD-200</t>
  </si>
  <si>
    <t>CD-201</t>
  </si>
  <si>
    <t>CD-202</t>
  </si>
  <si>
    <t>CD-203</t>
  </si>
  <si>
    <t>CD-204</t>
  </si>
  <si>
    <t>CD-205</t>
  </si>
  <si>
    <t>CD-206</t>
  </si>
  <si>
    <t>CD-207</t>
  </si>
  <si>
    <t>CD-208</t>
  </si>
  <si>
    <t>CD-209</t>
  </si>
  <si>
    <t>CD-210</t>
  </si>
  <si>
    <t>CD-211</t>
  </si>
  <si>
    <t>CD-212</t>
  </si>
  <si>
    <t>CD-213</t>
  </si>
  <si>
    <t>CD-214</t>
  </si>
  <si>
    <t>CD-215</t>
  </si>
  <si>
    <t>CD-216</t>
  </si>
  <si>
    <t>CD-217</t>
  </si>
  <si>
    <t>CD-218</t>
  </si>
  <si>
    <t>CD-219</t>
  </si>
  <si>
    <t>CD-220</t>
  </si>
  <si>
    <t>CD-221</t>
  </si>
  <si>
    <t>CD-222</t>
  </si>
  <si>
    <t>CD-223</t>
  </si>
  <si>
    <t>CD-224</t>
  </si>
  <si>
    <t>CD-225</t>
  </si>
  <si>
    <t>CD-226</t>
  </si>
  <si>
    <t>CD-227</t>
  </si>
  <si>
    <t>CD-228</t>
  </si>
  <si>
    <t>CD-229</t>
  </si>
  <si>
    <t>CD-230</t>
  </si>
  <si>
    <t>CD-231</t>
  </si>
  <si>
    <t>CD-232</t>
  </si>
  <si>
    <t>CD-233</t>
  </si>
  <si>
    <t>CD-234</t>
  </si>
  <si>
    <t>CD-235</t>
  </si>
  <si>
    <t>CD-236</t>
  </si>
  <si>
    <t>CD-237</t>
  </si>
  <si>
    <t>CD-238</t>
  </si>
  <si>
    <t>CD-239</t>
  </si>
  <si>
    <t>CD-240</t>
  </si>
  <si>
    <t>CD-241</t>
  </si>
  <si>
    <t>CD-242</t>
  </si>
  <si>
    <t>CD-243</t>
  </si>
  <si>
    <t>CD-244</t>
  </si>
  <si>
    <t>CD-245</t>
  </si>
  <si>
    <t>CD-246</t>
  </si>
  <si>
    <t>CD-247</t>
  </si>
  <si>
    <t>CD-248</t>
  </si>
  <si>
    <t>CD-249</t>
  </si>
  <si>
    <t>CD-250</t>
  </si>
  <si>
    <t>Cerca Candidato</t>
  </si>
  <si>
    <t>Tipo di Dato</t>
  </si>
  <si>
    <t>Valore</t>
  </si>
  <si>
    <t>Numero Richieste</t>
  </si>
  <si>
    <t>Posizione</t>
  </si>
  <si>
    <t>Posizione Maggiormente Richiesta</t>
  </si>
  <si>
    <t>Candidatura più datata</t>
  </si>
  <si>
    <t>Candidato più anziano</t>
  </si>
  <si>
    <t>Età</t>
  </si>
  <si>
    <t>Candidato più giovane</t>
  </si>
  <si>
    <t>Uomini</t>
  </si>
  <si>
    <t>Donne</t>
  </si>
  <si>
    <t>Età Media</t>
  </si>
  <si>
    <t>Posizione Maggiormente Abbandonata</t>
  </si>
  <si>
    <t>Ex lavoratori</t>
  </si>
  <si>
    <t>Elenco Completo</t>
  </si>
  <si>
    <t>Elimina Registrazione</t>
  </si>
  <si>
    <t>Elenco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</si>
</sst>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ourier New"/>
      <family val="3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theme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3" borderId="9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8" xfId="0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11" xfId="0" applyFill="1" applyBorder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0" borderId="0" xfId="0" applyNumberFormat="1"/>
    <xf numFmtId="14" fontId="0" fillId="0" borderId="17" xfId="0" applyNumberFormat="1" applyFont="1" applyBorder="1"/>
    <xf numFmtId="0" fontId="0" fillId="0" borderId="0" xfId="0" applyAlignment="1">
      <alignment horizontal="center"/>
    </xf>
    <xf numFmtId="0" fontId="0" fillId="0" borderId="0" xfId="0" applyBorder="1"/>
    <xf numFmtId="14" fontId="0" fillId="0" borderId="0" xfId="0" applyNumberFormat="1" applyAlignment="1">
      <alignment horizontal="center"/>
    </xf>
    <xf numFmtId="14" fontId="0" fillId="3" borderId="0" xfId="0" applyNumberFormat="1" applyFill="1" applyAlignment="1">
      <alignment horizontal="center"/>
    </xf>
    <xf numFmtId="14" fontId="0" fillId="3" borderId="12" xfId="0" applyNumberFormat="1" applyFill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0" fillId="3" borderId="12" xfId="0" applyNumberFormat="1" applyFill="1" applyBorder="1" applyAlignment="1">
      <alignment horizontal="center" vertical="center"/>
    </xf>
    <xf numFmtId="0" fontId="3" fillId="2" borderId="26" xfId="0" applyNumberFormat="1" applyFont="1" applyFill="1" applyBorder="1" applyAlignment="1">
      <alignment horizontal="center" vertical="center"/>
    </xf>
    <xf numFmtId="0" fontId="3" fillId="2" borderId="21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0" fillId="3" borderId="5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/>
    </xf>
    <xf numFmtId="0" fontId="0" fillId="3" borderId="6" xfId="0" applyNumberFormat="1" applyFill="1" applyBorder="1" applyAlignment="1">
      <alignment horizontal="center" vertical="center"/>
    </xf>
    <xf numFmtId="0" fontId="0" fillId="3" borderId="6" xfId="0" applyFill="1" applyBorder="1"/>
    <xf numFmtId="0" fontId="0" fillId="3" borderId="7" xfId="0" applyFill="1" applyBorder="1"/>
    <xf numFmtId="14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4" fontId="0" fillId="3" borderId="0" xfId="0" applyNumberFormat="1" applyFill="1" applyBorder="1" applyAlignment="1">
      <alignment horizontal="center"/>
    </xf>
    <xf numFmtId="0" fontId="4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6" xfId="0" applyNumberFormat="1" applyFont="1" applyBorder="1"/>
    <xf numFmtId="0" fontId="0" fillId="0" borderId="17" xfId="0" applyNumberFormat="1" applyFont="1" applyBorder="1"/>
    <xf numFmtId="0" fontId="0" fillId="0" borderId="18" xfId="0" applyNumberFormat="1" applyFont="1" applyBorder="1"/>
    <xf numFmtId="14" fontId="4" fillId="3" borderId="34" xfId="0" applyNumberFormat="1" applyFont="1" applyFill="1" applyBorder="1" applyAlignment="1">
      <alignment horizontal="center" vertical="center"/>
    </xf>
    <xf numFmtId="14" fontId="4" fillId="3" borderId="25" xfId="0" applyNumberFormat="1" applyFont="1" applyFill="1" applyBorder="1" applyAlignment="1">
      <alignment horizontal="center" vertical="center"/>
    </xf>
    <xf numFmtId="0" fontId="0" fillId="0" borderId="1" xfId="0" applyBorder="1"/>
    <xf numFmtId="0" fontId="9" fillId="7" borderId="28" xfId="0" applyFont="1" applyFill="1" applyBorder="1" applyAlignment="1">
      <alignment horizontal="center" vertical="center"/>
    </xf>
    <xf numFmtId="0" fontId="9" fillId="7" borderId="29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35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14" fontId="7" fillId="8" borderId="36" xfId="0" applyNumberFormat="1" applyFont="1" applyFill="1" applyBorder="1" applyAlignment="1">
      <alignment horizontal="center" vertical="center"/>
    </xf>
    <xf numFmtId="0" fontId="7" fillId="8" borderId="36" xfId="0" applyNumberFormat="1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2" xfId="0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9" fillId="7" borderId="32" xfId="0" applyFont="1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4" fontId="11" fillId="0" borderId="0" xfId="0" applyNumberFormat="1" applyFont="1"/>
    <xf numFmtId="0" fontId="4" fillId="6" borderId="10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/>
    </xf>
    <xf numFmtId="1" fontId="4" fillId="0" borderId="25" xfId="0" applyNumberFormat="1" applyFont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14" fontId="7" fillId="4" borderId="1" xfId="0" applyNumberFormat="1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>
      <alignment horizontal="center" vertical="center"/>
    </xf>
    <xf numFmtId="0" fontId="0" fillId="3" borderId="39" xfId="0" applyFill="1" applyBorder="1"/>
    <xf numFmtId="0" fontId="0" fillId="3" borderId="19" xfId="0" applyFill="1" applyBorder="1"/>
    <xf numFmtId="0" fontId="0" fillId="3" borderId="40" xfId="0" applyFill="1" applyBorder="1"/>
    <xf numFmtId="0" fontId="0" fillId="3" borderId="1" xfId="0" applyFill="1" applyBorder="1"/>
    <xf numFmtId="0" fontId="8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</cellXfs>
  <cellStyles count="1">
    <cellStyle name="Normale" xfId="0" builtinId="0"/>
  </cellStyles>
  <dxfs count="9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Rapporto Richieste/Abbandoni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8266061126724"/>
          <c:y val="8.5680167456525458E-2"/>
          <c:w val="0.7510476464447049"/>
          <c:h val="0.82281722321023121"/>
        </c:manualLayout>
      </c:layout>
      <c:barChart>
        <c:barDir val="bar"/>
        <c:grouping val="clustered"/>
        <c:varyColors val="0"/>
        <c:ser>
          <c:idx val="1"/>
          <c:order val="1"/>
          <c:tx>
            <c:v>Numero Abbandoni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 Candidati'!$B$28:$B$51</c:f>
              <c:strCache>
                <c:ptCount val="24"/>
                <c:pt idx="0">
                  <c:v>Amministratore del database</c:v>
                </c:pt>
                <c:pt idx="1">
                  <c:v>Amministratore di sistema</c:v>
                </c:pt>
                <c:pt idx="2">
                  <c:v>Analista dati</c:v>
                </c:pt>
                <c:pt idx="3">
                  <c:v>Analista di business intelligence</c:v>
                </c:pt>
                <c:pt idx="4">
                  <c:v>Analista di sicurezza informatica</c:v>
                </c:pt>
                <c:pt idx="5">
                  <c:v>Analista QA (Quality Assurance)</c:v>
                </c:pt>
                <c:pt idx="6">
                  <c:v>Architetto software</c:v>
                </c:pt>
                <c:pt idx="7">
                  <c:v>Data scientist</c:v>
                </c:pt>
                <c:pt idx="8">
                  <c:v>Esperto di DevOps</c:v>
                </c:pt>
                <c:pt idx="9">
                  <c:v>Esperto di intelligenza artificiale</c:v>
                </c:pt>
                <c:pt idx="10">
                  <c:v>Esperto di sicurezza informatica</c:v>
                </c:pt>
                <c:pt idx="11">
                  <c:v>Ingegnere dei sistemi embedded</c:v>
                </c:pt>
                <c:pt idx="12">
                  <c:v>Ingegnere del firmware</c:v>
                </c:pt>
                <c:pt idx="13">
                  <c:v>Ingegnere del software</c:v>
                </c:pt>
                <c:pt idx="14">
                  <c:v>Ingegnere del software back-end</c:v>
                </c:pt>
                <c:pt idx="15">
                  <c:v>Ingegnere del software embedded</c:v>
                </c:pt>
                <c:pt idx="16">
                  <c:v>Ingegnere del software front-end</c:v>
                </c:pt>
                <c:pt idx="17">
                  <c:v>Ingegnere del software mobile</c:v>
                </c:pt>
                <c:pt idx="18">
                  <c:v>Ingegnere di rete</c:v>
                </c:pt>
                <c:pt idx="19">
                  <c:v>Project manager IT</c:v>
                </c:pt>
                <c:pt idx="20">
                  <c:v>Specialista di machine learning</c:v>
                </c:pt>
                <c:pt idx="21">
                  <c:v>Specialista di reti neurali</c:v>
                </c:pt>
                <c:pt idx="22">
                  <c:v>Sviluppatore software</c:v>
                </c:pt>
                <c:pt idx="23">
                  <c:v>Web developer</c:v>
                </c:pt>
              </c:strCache>
            </c:strRef>
          </c:cat>
          <c:val>
            <c:numRef>
              <c:f>'Analisi Candidati'!$F$28:$F$51</c:f>
              <c:numCache>
                <c:formatCode>General</c:formatCode>
                <c:ptCount val="24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14</c:v>
                </c:pt>
                <c:pt idx="4">
                  <c:v>9</c:v>
                </c:pt>
                <c:pt idx="5">
                  <c:v>20</c:v>
                </c:pt>
                <c:pt idx="6">
                  <c:v>12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10</c:v>
                </c:pt>
                <c:pt idx="11">
                  <c:v>9</c:v>
                </c:pt>
                <c:pt idx="12">
                  <c:v>7</c:v>
                </c:pt>
                <c:pt idx="13">
                  <c:v>9</c:v>
                </c:pt>
                <c:pt idx="14">
                  <c:v>12</c:v>
                </c:pt>
                <c:pt idx="15">
                  <c:v>6</c:v>
                </c:pt>
                <c:pt idx="16">
                  <c:v>13</c:v>
                </c:pt>
                <c:pt idx="17">
                  <c:v>16</c:v>
                </c:pt>
                <c:pt idx="18">
                  <c:v>15</c:v>
                </c:pt>
                <c:pt idx="19">
                  <c:v>6</c:v>
                </c:pt>
                <c:pt idx="20">
                  <c:v>14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8-4B7C-B13E-E095E6808AAC}"/>
            </c:ext>
          </c:extLst>
        </c:ser>
        <c:ser>
          <c:idx val="0"/>
          <c:order val="0"/>
          <c:tx>
            <c:v>Numero Richieste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dLbl>
              <c:idx val="22"/>
              <c:layout>
                <c:manualLayout>
                  <c:x val="1.0628875110717362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48-4B7C-B13E-E095E6808A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 Candidati'!$B$28:$B$51</c:f>
              <c:strCache>
                <c:ptCount val="24"/>
                <c:pt idx="0">
                  <c:v>Amministratore del database</c:v>
                </c:pt>
                <c:pt idx="1">
                  <c:v>Amministratore di sistema</c:v>
                </c:pt>
                <c:pt idx="2">
                  <c:v>Analista dati</c:v>
                </c:pt>
                <c:pt idx="3">
                  <c:v>Analista di business intelligence</c:v>
                </c:pt>
                <c:pt idx="4">
                  <c:v>Analista di sicurezza informatica</c:v>
                </c:pt>
                <c:pt idx="5">
                  <c:v>Analista QA (Quality Assurance)</c:v>
                </c:pt>
                <c:pt idx="6">
                  <c:v>Architetto software</c:v>
                </c:pt>
                <c:pt idx="7">
                  <c:v>Data scientist</c:v>
                </c:pt>
                <c:pt idx="8">
                  <c:v>Esperto di DevOps</c:v>
                </c:pt>
                <c:pt idx="9">
                  <c:v>Esperto di intelligenza artificiale</c:v>
                </c:pt>
                <c:pt idx="10">
                  <c:v>Esperto di sicurezza informatica</c:v>
                </c:pt>
                <c:pt idx="11">
                  <c:v>Ingegnere dei sistemi embedded</c:v>
                </c:pt>
                <c:pt idx="12">
                  <c:v>Ingegnere del firmware</c:v>
                </c:pt>
                <c:pt idx="13">
                  <c:v>Ingegnere del software</c:v>
                </c:pt>
                <c:pt idx="14">
                  <c:v>Ingegnere del software back-end</c:v>
                </c:pt>
                <c:pt idx="15">
                  <c:v>Ingegnere del software embedded</c:v>
                </c:pt>
                <c:pt idx="16">
                  <c:v>Ingegnere del software front-end</c:v>
                </c:pt>
                <c:pt idx="17">
                  <c:v>Ingegnere del software mobile</c:v>
                </c:pt>
                <c:pt idx="18">
                  <c:v>Ingegnere di rete</c:v>
                </c:pt>
                <c:pt idx="19">
                  <c:v>Project manager IT</c:v>
                </c:pt>
                <c:pt idx="20">
                  <c:v>Specialista di machine learning</c:v>
                </c:pt>
                <c:pt idx="21">
                  <c:v>Specialista di reti neurali</c:v>
                </c:pt>
                <c:pt idx="22">
                  <c:v>Sviluppatore software</c:v>
                </c:pt>
                <c:pt idx="23">
                  <c:v>Web developer</c:v>
                </c:pt>
              </c:strCache>
            </c:strRef>
          </c:cat>
          <c:val>
            <c:numRef>
              <c:f>'Analisi Candidati'!$C$28:$C$52</c:f>
              <c:numCache>
                <c:formatCode>General</c:formatCode>
                <c:ptCount val="25"/>
                <c:pt idx="0">
                  <c:v>15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5</c:v>
                </c:pt>
                <c:pt idx="5">
                  <c:v>11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10</c:v>
                </c:pt>
                <c:pt idx="10">
                  <c:v>8</c:v>
                </c:pt>
                <c:pt idx="11">
                  <c:v>23</c:v>
                </c:pt>
                <c:pt idx="12">
                  <c:v>16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6</c:v>
                </c:pt>
                <c:pt idx="17">
                  <c:v>18</c:v>
                </c:pt>
                <c:pt idx="18">
                  <c:v>5</c:v>
                </c:pt>
                <c:pt idx="19">
                  <c:v>9</c:v>
                </c:pt>
                <c:pt idx="20">
                  <c:v>15</c:v>
                </c:pt>
                <c:pt idx="21">
                  <c:v>11</c:v>
                </c:pt>
                <c:pt idx="22">
                  <c:v>8</c:v>
                </c:pt>
                <c:pt idx="2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8-4B7C-B13E-E095E6808A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2039245976"/>
        <c:axId val="2039244896"/>
      </c:barChart>
      <c:catAx>
        <c:axId val="20392459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Posizione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9244896"/>
        <c:auto val="1"/>
        <c:lblAlgn val="ctr"/>
        <c:lblOffset val="100"/>
        <c:noMultiLvlLbl val="0"/>
      </c:catAx>
      <c:valAx>
        <c:axId val="2039244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Numero Candidati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39245976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270389902657057"/>
          <c:y val="2.4857357109414922E-2"/>
          <c:w val="0.16764080113887306"/>
          <c:h val="3.469568545324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28575</xdr:rowOff>
        </xdr:from>
        <xdr:to>
          <xdr:col>9</xdr:col>
          <xdr:colOff>962025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12</xdr:row>
          <xdr:rowOff>76200</xdr:rowOff>
        </xdr:from>
        <xdr:to>
          <xdr:col>8</xdr:col>
          <xdr:colOff>1162050</xdr:colOff>
          <xdr:row>13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12</xdr:row>
          <xdr:rowOff>95250</xdr:rowOff>
        </xdr:from>
        <xdr:to>
          <xdr:col>10</xdr:col>
          <xdr:colOff>1619250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6</xdr:row>
          <xdr:rowOff>47625</xdr:rowOff>
        </xdr:from>
        <xdr:to>
          <xdr:col>11</xdr:col>
          <xdr:colOff>1809750</xdr:colOff>
          <xdr:row>7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Aggiungi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20</xdr:row>
          <xdr:rowOff>95250</xdr:rowOff>
        </xdr:from>
        <xdr:to>
          <xdr:col>10</xdr:col>
          <xdr:colOff>1619250</xdr:colOff>
          <xdr:row>21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40F1943-7881-40C6-9215-F20C7A4DE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Inserisci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7</xdr:row>
          <xdr:rowOff>152400</xdr:rowOff>
        </xdr:from>
        <xdr:to>
          <xdr:col>14</xdr:col>
          <xdr:colOff>1343025</xdr:colOff>
          <xdr:row>9</xdr:row>
          <xdr:rowOff>123825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dati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26</xdr:row>
      <xdr:rowOff>42860</xdr:rowOff>
    </xdr:from>
    <xdr:to>
      <xdr:col>17</xdr:col>
      <xdr:colOff>419099</xdr:colOff>
      <xdr:row>56</xdr:row>
      <xdr:rowOff>190499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E566191B-3B15-C97B-EA2F-173C2EA4C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FCD7E22D-255A-4DCD-A09E-BCDEC17C0803}" autoFormatId="16" applyNumberFormats="0" applyBorderFormats="0" applyFontFormats="0" applyPatternFormats="0" applyAlignmentFormats="0" applyWidthHeightFormats="0">
  <queryTableRefresh nextId="11" unboundColumnsLeft="1">
    <queryTableFields count="9">
      <queryTableField id="9" dataBound="0" tableColumnId="9"/>
      <queryTableField id="1" name="Nome" tableColumnId="1"/>
      <queryTableField id="2" name="Cognome" tableColumnId="2"/>
      <queryTableField id="3" name="Data di nascita" tableColumnId="3"/>
      <queryTableField id="4" name="Genere" tableColumnId="4"/>
      <queryTableField id="5" name="CF" tableColumnId="5"/>
      <queryTableField id="6" name="Posizione precedente" tableColumnId="6"/>
      <queryTableField id="7" name="Data candidatura" tableColumnId="7"/>
      <queryTableField id="8" name="Posizione ricercata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1167C3-3456-4C5A-B4DD-A8A06A7BD745}" name="Candidati" displayName="Candidati" ref="A1:I251" tableType="queryTable" totalsRowShown="0">
  <autoFilter ref="A1:I251" xr:uid="{1B1167C3-3456-4C5A-B4DD-A8A06A7BD745}"/>
  <tableColumns count="9">
    <tableColumn id="9" xr3:uid="{0083DB9B-BB5F-4E4B-9B03-0A8F41778EF3}" uniqueName="9" name="ID Candidato" queryTableFieldId="9" dataDxfId="8"/>
    <tableColumn id="1" xr3:uid="{739A9E4D-A30B-4364-BD04-80283FA06C5E}" uniqueName="1" name="Nome" queryTableFieldId="1" dataDxfId="7"/>
    <tableColumn id="2" xr3:uid="{2DAB2485-6FA7-470C-AAEF-F8EAAACD4C03}" uniqueName="2" name="Cognome" queryTableFieldId="2" dataDxfId="6"/>
    <tableColumn id="3" xr3:uid="{5DCBAA1F-01CD-44DA-83A1-81541C9BD090}" uniqueName="3" name="Data di nascita" queryTableFieldId="3" dataDxfId="5"/>
    <tableColumn id="4" xr3:uid="{04063F8F-8FC0-4774-8561-BD4E5FDF7AB0}" uniqueName="4" name="Genere" queryTableFieldId="4" dataDxfId="4"/>
    <tableColumn id="5" xr3:uid="{A92CECEF-D753-407C-B963-561B3D6A1D8B}" uniqueName="5" name="CF" queryTableFieldId="5" dataDxfId="3"/>
    <tableColumn id="6" xr3:uid="{D151D528-6900-4D0F-843D-00E4A2E65477}" uniqueName="6" name="Posizione precedente" queryTableFieldId="6" dataDxfId="2"/>
    <tableColumn id="7" xr3:uid="{251EB85C-414F-43CA-AAF1-2CC8844BD4C3}" uniqueName="7" name="Data candidatura" queryTableFieldId="7" dataDxfId="1"/>
    <tableColumn id="8" xr3:uid="{E9E1C7EE-2729-4C41-ACEE-D8DB0BD1762D}" uniqueName="8" name="Posizione ricercata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theme="7" tint="0.79998168889431442"/>
  </sheetPr>
  <dimension ref="C1:T250"/>
  <sheetViews>
    <sheetView tabSelected="1" workbookViewId="0">
      <selection activeCell="N18" sqref="N18"/>
    </sheetView>
  </sheetViews>
  <sheetFormatPr defaultRowHeight="15" x14ac:dyDescent="0.25"/>
  <cols>
    <col min="2" max="2" width="31" bestFit="1" customWidth="1"/>
    <col min="3" max="3" width="12.28515625" style="12" bestFit="1" customWidth="1"/>
    <col min="4" max="4" width="11.7109375" style="21" customWidth="1"/>
    <col min="5" max="5" width="14.140625" style="12" customWidth="1"/>
    <col min="6" max="6" width="13.85546875" style="18" bestFit="1" customWidth="1"/>
    <col min="7" max="7" width="7.7109375" style="26" bestFit="1" customWidth="1"/>
    <col min="8" max="8" width="38.85546875" style="18" bestFit="1" customWidth="1"/>
    <col min="9" max="9" width="30.85546875" bestFit="1" customWidth="1"/>
    <col min="10" max="10" width="16" style="18" bestFit="1" customWidth="1"/>
    <col min="11" max="11" width="31.28515625" bestFit="1" customWidth="1"/>
    <col min="12" max="12" width="30.85546875" bestFit="1" customWidth="1"/>
    <col min="13" max="13" width="6.140625" customWidth="1"/>
    <col min="14" max="14" width="10.7109375" customWidth="1"/>
    <col min="15" max="15" width="23" customWidth="1"/>
    <col min="16" max="16" width="10.7109375" customWidth="1"/>
    <col min="17" max="17" width="20.5703125" hidden="1" customWidth="1"/>
    <col min="18" max="19" width="32.42578125" hidden="1" customWidth="1"/>
    <col min="20" max="20" width="0" hidden="1" customWidth="1"/>
  </cols>
  <sheetData>
    <row r="1" spans="3:20" x14ac:dyDescent="0.25">
      <c r="R1" t="str" cm="1">
        <f t="array" ref="R1:R24">_xlfn._xlws.SORT(_xlfn.UNIQUE(Candidati[Posizione precedente]))</f>
        <v>Amministratore del database</v>
      </c>
      <c r="S1" t="str" cm="1">
        <f t="array" ref="S1:S24">_xlfn._xlws.SORT(_xlfn.UNIQUE(Candidati[Posizione ricercata]))</f>
        <v>Amministratore del database</v>
      </c>
      <c r="T1" t="str" cm="1">
        <f t="array" ref="T1:T250">_xlfn.UNIQUE(Candidati[ID Candidato])</f>
        <v>CD-001</v>
      </c>
    </row>
    <row r="2" spans="3:20" ht="15.75" thickBot="1" x14ac:dyDescent="0.3">
      <c r="Q2" s="1">
        <f ca="1">TODAY()</f>
        <v>45282</v>
      </c>
      <c r="R2" t="str">
        <v>Amministratore di sistema</v>
      </c>
      <c r="S2" t="str">
        <v>Amministratore di sistema</v>
      </c>
      <c r="T2" t="str">
        <v>CD-002</v>
      </c>
    </row>
    <row r="3" spans="3:20" ht="15" customHeight="1" x14ac:dyDescent="0.25">
      <c r="C3" s="46" t="s">
        <v>364</v>
      </c>
      <c r="D3" s="47"/>
      <c r="E3" s="47"/>
      <c r="F3" s="47"/>
      <c r="G3" s="47"/>
      <c r="H3" s="47"/>
      <c r="I3" s="47"/>
      <c r="J3" s="47"/>
      <c r="K3" s="47"/>
      <c r="L3" s="48"/>
      <c r="N3" s="46" t="s">
        <v>634</v>
      </c>
      <c r="O3" s="47"/>
      <c r="P3" s="47"/>
      <c r="R3" t="str">
        <v>Analista dati</v>
      </c>
      <c r="S3" t="str">
        <v>Analista dati</v>
      </c>
      <c r="T3" t="str">
        <v>CD-003</v>
      </c>
    </row>
    <row r="4" spans="3:20" ht="15" customHeight="1" x14ac:dyDescent="0.25">
      <c r="C4" s="49"/>
      <c r="D4" s="50"/>
      <c r="E4" s="50"/>
      <c r="F4" s="50"/>
      <c r="G4" s="50"/>
      <c r="H4" s="50"/>
      <c r="I4" s="50"/>
      <c r="J4" s="50"/>
      <c r="K4" s="50"/>
      <c r="L4" s="51"/>
      <c r="N4" s="49"/>
      <c r="O4" s="50"/>
      <c r="P4" s="50"/>
      <c r="Q4" t="s">
        <v>30</v>
      </c>
      <c r="R4" t="str">
        <v>Analista di business intelligence</v>
      </c>
      <c r="S4" t="str">
        <v>Analista di business intelligence</v>
      </c>
      <c r="T4" t="str">
        <v>CD-004</v>
      </c>
    </row>
    <row r="5" spans="3:20" x14ac:dyDescent="0.25">
      <c r="C5" s="22"/>
      <c r="D5" s="23"/>
      <c r="E5" s="11"/>
      <c r="F5" s="19"/>
      <c r="G5" s="27"/>
      <c r="H5" s="19"/>
      <c r="I5" s="2"/>
      <c r="J5" s="19"/>
      <c r="K5" s="2"/>
      <c r="L5" s="3"/>
      <c r="N5" s="97"/>
      <c r="O5" s="98"/>
      <c r="P5" s="99"/>
      <c r="Q5" t="s">
        <v>10</v>
      </c>
      <c r="R5" t="str">
        <v>Analista di sicurezza informatica</v>
      </c>
      <c r="S5" t="str">
        <v>Analista di sicurezza informatica</v>
      </c>
      <c r="T5" t="str">
        <v>CD-005</v>
      </c>
    </row>
    <row r="6" spans="3:20" ht="18.75" x14ac:dyDescent="0.3">
      <c r="C6" s="22"/>
      <c r="D6" s="23"/>
      <c r="E6" s="11"/>
      <c r="F6" s="19"/>
      <c r="G6" s="27"/>
      <c r="H6" s="19"/>
      <c r="I6" s="2"/>
      <c r="J6" s="19"/>
      <c r="K6" s="2"/>
      <c r="L6" s="3"/>
      <c r="N6" s="6"/>
      <c r="O6" s="101" t="s">
        <v>635</v>
      </c>
      <c r="P6" s="3"/>
      <c r="R6" t="str">
        <v>Analista QA (Quality Assurance)</v>
      </c>
      <c r="S6" t="str">
        <v>Analista QA (Quality Assurance)</v>
      </c>
      <c r="T6" t="str">
        <v>CD-006</v>
      </c>
    </row>
    <row r="7" spans="3:20" x14ac:dyDescent="0.25">
      <c r="C7" s="22"/>
      <c r="D7" s="94" t="s">
        <v>0</v>
      </c>
      <c r="E7" s="94" t="s">
        <v>1</v>
      </c>
      <c r="F7" s="95" t="s">
        <v>2</v>
      </c>
      <c r="G7" s="96" t="s">
        <v>3</v>
      </c>
      <c r="H7" s="94" t="s">
        <v>4</v>
      </c>
      <c r="I7" s="94" t="s">
        <v>5</v>
      </c>
      <c r="J7" s="95" t="s">
        <v>6</v>
      </c>
      <c r="K7" s="94" t="s">
        <v>7</v>
      </c>
      <c r="L7" s="3"/>
      <c r="N7" s="6"/>
      <c r="O7" s="100"/>
      <c r="P7" s="3"/>
      <c r="Q7" t="s">
        <v>367</v>
      </c>
      <c r="R7" t="str">
        <v>Architetto software</v>
      </c>
      <c r="S7" t="str">
        <v>Architetto software</v>
      </c>
      <c r="T7" t="str">
        <v>CD-007</v>
      </c>
    </row>
    <row r="8" spans="3:20" x14ac:dyDescent="0.25">
      <c r="C8" s="22"/>
      <c r="D8" s="53"/>
      <c r="E8" s="102"/>
      <c r="F8" s="103"/>
      <c r="G8" s="104"/>
      <c r="H8" s="103"/>
      <c r="I8" s="59"/>
      <c r="J8" s="103"/>
      <c r="K8" s="59"/>
      <c r="L8" s="3"/>
      <c r="N8" s="6"/>
      <c r="O8" s="8"/>
      <c r="P8" s="3"/>
      <c r="Q8" t="s">
        <v>0</v>
      </c>
      <c r="R8" t="str">
        <v>Data scientist</v>
      </c>
      <c r="S8" t="str">
        <v>Data scientist</v>
      </c>
      <c r="T8" t="str">
        <v>CD-008</v>
      </c>
    </row>
    <row r="9" spans="3:20" x14ac:dyDescent="0.25">
      <c r="C9" s="22"/>
      <c r="D9" s="23"/>
      <c r="E9" s="11"/>
      <c r="F9" s="19"/>
      <c r="G9" s="27"/>
      <c r="H9" s="19"/>
      <c r="I9" s="2"/>
      <c r="J9" s="19"/>
      <c r="K9" s="2"/>
      <c r="L9" s="3"/>
      <c r="N9" s="6"/>
      <c r="O9" s="8"/>
      <c r="P9" s="3"/>
      <c r="Q9" t="s">
        <v>1</v>
      </c>
      <c r="R9" t="str">
        <v>Esperto di DevOps</v>
      </c>
      <c r="S9" t="str">
        <v>Esperto di DevOps</v>
      </c>
      <c r="T9" t="str">
        <v>CD-009</v>
      </c>
    </row>
    <row r="10" spans="3:20" x14ac:dyDescent="0.25">
      <c r="C10" s="22"/>
      <c r="D10" s="23"/>
      <c r="E10" s="11"/>
      <c r="F10" s="19"/>
      <c r="G10" s="27"/>
      <c r="H10" s="19"/>
      <c r="I10" s="2"/>
      <c r="J10" s="19"/>
      <c r="K10" s="2"/>
      <c r="L10" s="3"/>
      <c r="N10" s="6"/>
      <c r="O10" s="9"/>
      <c r="P10" s="3"/>
      <c r="Q10" t="s">
        <v>366</v>
      </c>
      <c r="R10" t="str">
        <v>Esperto di intelligenza artificiale</v>
      </c>
      <c r="S10" t="str">
        <v>Esperto di intelligenza artificiale</v>
      </c>
      <c r="T10" t="str">
        <v>CD-010</v>
      </c>
    </row>
    <row r="11" spans="3:20" ht="15.75" thickBot="1" x14ac:dyDescent="0.3">
      <c r="C11" s="22"/>
      <c r="D11" s="23"/>
      <c r="E11" s="11"/>
      <c r="F11" s="19"/>
      <c r="G11" s="27"/>
      <c r="H11" s="19"/>
      <c r="I11" s="52" t="s">
        <v>365</v>
      </c>
      <c r="J11" s="19"/>
      <c r="K11" s="52" t="s">
        <v>365</v>
      </c>
      <c r="L11" s="3"/>
      <c r="N11" s="10"/>
      <c r="O11" s="4"/>
      <c r="P11" s="5"/>
      <c r="Q11" t="s">
        <v>3</v>
      </c>
      <c r="R11" t="str">
        <v>Esperto di sicurezza informatica</v>
      </c>
      <c r="S11" t="str">
        <v>Esperto di sicurezza informatica</v>
      </c>
      <c r="T11" t="str">
        <v>CD-011</v>
      </c>
    </row>
    <row r="12" spans="3:20" x14ac:dyDescent="0.25">
      <c r="C12" s="22"/>
      <c r="D12" s="23"/>
      <c r="E12" s="11"/>
      <c r="F12" s="19"/>
      <c r="G12" s="27"/>
      <c r="H12" s="19"/>
      <c r="I12" s="7" t="s">
        <v>147</v>
      </c>
      <c r="J12" s="19"/>
      <c r="K12" s="7" t="s">
        <v>77</v>
      </c>
      <c r="L12" s="3"/>
      <c r="Q12" t="s">
        <v>4</v>
      </c>
      <c r="R12" t="str">
        <v>Ingegnere dei sistemi embedded</v>
      </c>
      <c r="S12" t="str">
        <v>Ingegnere dei sistemi embedded</v>
      </c>
      <c r="T12" t="str">
        <v>CD-012</v>
      </c>
    </row>
    <row r="13" spans="3:20" x14ac:dyDescent="0.25">
      <c r="C13" s="22"/>
      <c r="D13" s="23"/>
      <c r="E13" s="11"/>
      <c r="F13" s="19"/>
      <c r="G13" s="27"/>
      <c r="H13" s="19"/>
      <c r="I13" s="8"/>
      <c r="J13" s="19"/>
      <c r="K13" s="8"/>
      <c r="L13" s="3"/>
      <c r="Q13" t="s">
        <v>5</v>
      </c>
      <c r="R13" t="str">
        <v>Ingegnere del firmware</v>
      </c>
      <c r="S13" t="str">
        <v>Ingegnere del firmware</v>
      </c>
      <c r="T13" t="str">
        <v>CD-013</v>
      </c>
    </row>
    <row r="14" spans="3:20" x14ac:dyDescent="0.25">
      <c r="C14" s="22"/>
      <c r="D14" s="23"/>
      <c r="E14" s="11"/>
      <c r="F14" s="19"/>
      <c r="G14" s="27"/>
      <c r="H14" s="19"/>
      <c r="I14" s="9"/>
      <c r="J14" s="19"/>
      <c r="K14" s="9"/>
      <c r="L14" s="3"/>
      <c r="Q14" t="s">
        <v>6</v>
      </c>
      <c r="R14" t="str">
        <v>Ingegnere del software</v>
      </c>
      <c r="S14" t="str">
        <v>Ingegnere del software</v>
      </c>
      <c r="T14" t="str">
        <v>CD-014</v>
      </c>
    </row>
    <row r="15" spans="3:20" ht="15.75" thickBot="1" x14ac:dyDescent="0.3">
      <c r="C15" s="24"/>
      <c r="D15" s="25"/>
      <c r="E15" s="13"/>
      <c r="F15" s="20"/>
      <c r="G15" s="28"/>
      <c r="H15" s="20"/>
      <c r="I15" s="4"/>
      <c r="J15" s="20"/>
      <c r="K15" s="4"/>
      <c r="L15" s="5"/>
      <c r="Q15" t="s">
        <v>7</v>
      </c>
      <c r="R15" t="str">
        <v>Ingegnere del software back-end</v>
      </c>
      <c r="S15" t="str">
        <v>Ingegnere del software back-end</v>
      </c>
      <c r="T15" t="str">
        <v>CD-015</v>
      </c>
    </row>
    <row r="16" spans="3:20" x14ac:dyDescent="0.25">
      <c r="R16" t="str">
        <v>Ingegnere del software embedded</v>
      </c>
      <c r="S16" t="str">
        <v>Ingegnere del software embedded</v>
      </c>
      <c r="T16" t="str">
        <v>CD-016</v>
      </c>
    </row>
    <row r="17" spans="3:20" ht="15.75" thickBot="1" x14ac:dyDescent="0.3">
      <c r="R17" t="str">
        <v>Ingegnere del software front-end</v>
      </c>
      <c r="S17" t="str">
        <v>Ingegnere del software front-end</v>
      </c>
      <c r="T17" t="str">
        <v>CD-017</v>
      </c>
    </row>
    <row r="18" spans="3:20" ht="15.75" thickBot="1" x14ac:dyDescent="0.3">
      <c r="C18" s="33"/>
      <c r="D18" s="34"/>
      <c r="E18" s="35"/>
      <c r="F18" s="36"/>
      <c r="G18" s="37"/>
      <c r="H18" s="36"/>
      <c r="I18" s="38"/>
      <c r="J18" s="36"/>
      <c r="K18" s="38"/>
      <c r="L18" s="39"/>
      <c r="R18" t="str">
        <v>Ingegnere del software mobile</v>
      </c>
      <c r="S18" t="str">
        <v>Ingegnere del software mobile</v>
      </c>
      <c r="T18" t="str">
        <v>CD-018</v>
      </c>
    </row>
    <row r="19" spans="3:20" ht="15" customHeight="1" x14ac:dyDescent="0.25">
      <c r="C19" s="22"/>
      <c r="D19" s="40"/>
      <c r="E19" s="41"/>
      <c r="F19" s="46" t="s">
        <v>618</v>
      </c>
      <c r="G19" s="47"/>
      <c r="H19" s="47"/>
      <c r="I19" s="48"/>
      <c r="J19" s="42"/>
      <c r="K19" s="52" t="s">
        <v>365</v>
      </c>
      <c r="L19" s="3"/>
      <c r="R19" t="str">
        <v>Ingegnere di rete</v>
      </c>
      <c r="S19" t="str">
        <v>Ingegnere di rete</v>
      </c>
      <c r="T19" t="str">
        <v>CD-019</v>
      </c>
    </row>
    <row r="20" spans="3:20" ht="15" customHeight="1" x14ac:dyDescent="0.25">
      <c r="C20" s="22"/>
      <c r="D20" s="40"/>
      <c r="E20" s="41"/>
      <c r="F20" s="49"/>
      <c r="G20" s="50"/>
      <c r="H20" s="50"/>
      <c r="I20" s="51"/>
      <c r="J20" s="42"/>
      <c r="K20" s="7"/>
      <c r="L20" s="3"/>
      <c r="O20" s="17"/>
      <c r="R20" t="str">
        <v>Project manager IT</v>
      </c>
      <c r="S20" t="str">
        <v>Project manager IT</v>
      </c>
      <c r="T20" t="str">
        <v>CD-020</v>
      </c>
    </row>
    <row r="21" spans="3:20" x14ac:dyDescent="0.25">
      <c r="C21" s="22"/>
      <c r="D21" s="40"/>
      <c r="E21" s="41"/>
      <c r="F21" s="29" t="s">
        <v>619</v>
      </c>
      <c r="G21" s="30"/>
      <c r="H21" s="31" t="s">
        <v>620</v>
      </c>
      <c r="I21" s="32"/>
      <c r="J21" s="42"/>
      <c r="K21" s="8"/>
      <c r="L21" s="3"/>
      <c r="R21" t="str">
        <v>Specialista di machine learning</v>
      </c>
      <c r="S21" t="str">
        <v>Specialista di machine learning</v>
      </c>
      <c r="T21" t="str">
        <v>CD-021</v>
      </c>
    </row>
    <row r="22" spans="3:20" ht="15" customHeight="1" thickBot="1" x14ac:dyDescent="0.3">
      <c r="C22" s="22"/>
      <c r="D22" s="40"/>
      <c r="E22" s="41"/>
      <c r="F22" s="43" t="s">
        <v>1</v>
      </c>
      <c r="G22" s="44"/>
      <c r="H22" s="57" t="s">
        <v>44</v>
      </c>
      <c r="I22" s="58"/>
      <c r="J22" s="42"/>
      <c r="K22" s="9"/>
      <c r="L22" s="3"/>
      <c r="R22" t="str">
        <v>Specialista di reti neurali</v>
      </c>
      <c r="S22" t="str">
        <v>Specialista di reti neurali</v>
      </c>
      <c r="T22" t="str">
        <v>CD-022</v>
      </c>
    </row>
    <row r="23" spans="3:20" ht="15" customHeight="1" thickBot="1" x14ac:dyDescent="0.3">
      <c r="C23" s="24"/>
      <c r="D23" s="13"/>
      <c r="E23" s="13"/>
      <c r="F23" s="20"/>
      <c r="G23" s="28"/>
      <c r="H23" s="45"/>
      <c r="I23" s="4"/>
      <c r="J23" s="20"/>
      <c r="K23" s="4"/>
      <c r="L23" s="5"/>
      <c r="R23" t="str">
        <v>Sviluppatore software</v>
      </c>
      <c r="S23" t="str">
        <v>Sviluppatore software</v>
      </c>
      <c r="T23" t="str">
        <v>CD-023</v>
      </c>
    </row>
    <row r="24" spans="3:20" x14ac:dyDescent="0.25">
      <c r="R24" t="str">
        <v>Web developer</v>
      </c>
      <c r="S24" t="str">
        <v>Web developer</v>
      </c>
      <c r="T24" t="str">
        <v>CD-024</v>
      </c>
    </row>
    <row r="25" spans="3:20" x14ac:dyDescent="0.25">
      <c r="C25" s="94" t="s">
        <v>367</v>
      </c>
      <c r="D25" s="94" t="s">
        <v>0</v>
      </c>
      <c r="E25" s="94" t="s">
        <v>1</v>
      </c>
      <c r="F25" s="95" t="s">
        <v>2</v>
      </c>
      <c r="G25" s="96" t="s">
        <v>3</v>
      </c>
      <c r="H25" s="94" t="s">
        <v>4</v>
      </c>
      <c r="I25" s="94" t="s">
        <v>5</v>
      </c>
      <c r="J25" s="95" t="s">
        <v>6</v>
      </c>
      <c r="K25" s="94" t="s">
        <v>7</v>
      </c>
      <c r="T25" t="str">
        <v>CD-025</v>
      </c>
    </row>
    <row r="26" spans="3:20" x14ac:dyDescent="0.25">
      <c r="C26" s="12" t="str" cm="1">
        <f t="array" aca="1" ref="C26:K32" ca="1">_xlfn._xlws.FILTER(Candidati[],(INDIRECT("Candidati["&amp;INDIRECT("F22")&amp;"]")=H22),"Nessun dato Disponibile")</f>
        <v>CD-009</v>
      </c>
      <c r="D26" s="12" t="str">
        <f ca="1"/>
        <v>Chiara</v>
      </c>
      <c r="E26" s="12" t="str">
        <f ca="1"/>
        <v>Rossi</v>
      </c>
      <c r="F26" s="18">
        <f ca="1"/>
        <v>35475</v>
      </c>
      <c r="G26" s="26" t="str">
        <f ca="1"/>
        <v>F</v>
      </c>
      <c r="H26" s="16" t="str">
        <f ca="1"/>
        <v>CHIROS97F637</v>
      </c>
      <c r="I26" t="str">
        <f ca="1"/>
        <v>Ingegnere di rete</v>
      </c>
      <c r="J26" s="18">
        <f ca="1"/>
        <v>45004</v>
      </c>
      <c r="K26" t="str">
        <f ca="1"/>
        <v>Esperto di intelligenza artificiale</v>
      </c>
      <c r="T26" t="str">
        <v>CD-026</v>
      </c>
    </row>
    <row r="27" spans="3:20" x14ac:dyDescent="0.25">
      <c r="C27" s="12" t="str">
        <f ca="1"/>
        <v>CD-016</v>
      </c>
      <c r="D27" s="21" t="str">
        <f ca="1"/>
        <v>Simone</v>
      </c>
      <c r="E27" s="12" t="str">
        <f ca="1"/>
        <v>Rossi</v>
      </c>
      <c r="F27" s="18">
        <f ca="1"/>
        <v>37597</v>
      </c>
      <c r="G27" s="26" t="str">
        <f ca="1"/>
        <v>M</v>
      </c>
      <c r="H27" s="18" t="str">
        <f ca="1"/>
        <v>SIMROS02M816</v>
      </c>
      <c r="I27" t="str">
        <f ca="1"/>
        <v>Specialista di reti neurali</v>
      </c>
      <c r="J27" s="18">
        <f ca="1"/>
        <v>44557</v>
      </c>
      <c r="K27" t="str">
        <f ca="1"/>
        <v>Specialista di machine learning</v>
      </c>
      <c r="T27" t="str">
        <v>CD-027</v>
      </c>
    </row>
    <row r="28" spans="3:20" x14ac:dyDescent="0.25">
      <c r="C28" s="12" t="str">
        <f ca="1"/>
        <v>CD-033</v>
      </c>
      <c r="D28" s="21" t="str">
        <f ca="1"/>
        <v>Elisa</v>
      </c>
      <c r="E28" s="12" t="str">
        <f ca="1"/>
        <v>Rossi</v>
      </c>
      <c r="F28" s="18">
        <f ca="1"/>
        <v>35791</v>
      </c>
      <c r="G28" s="26" t="str">
        <f ca="1"/>
        <v>F</v>
      </c>
      <c r="H28" s="18" t="str">
        <f ca="1"/>
        <v>ELIROS97F511</v>
      </c>
      <c r="I28" t="str">
        <f ca="1"/>
        <v>Analista QA (Quality Assurance)</v>
      </c>
      <c r="J28" s="18">
        <f ca="1"/>
        <v>45108</v>
      </c>
      <c r="K28" t="str">
        <f ca="1"/>
        <v>Ingegnere del software back-end</v>
      </c>
      <c r="T28" t="str">
        <v>CD-028</v>
      </c>
    </row>
    <row r="29" spans="3:20" x14ac:dyDescent="0.25">
      <c r="C29" s="12" t="str">
        <f ca="1"/>
        <v>CD-076</v>
      </c>
      <c r="D29" s="21" t="str">
        <f ca="1"/>
        <v>Giovanni</v>
      </c>
      <c r="E29" s="12" t="str">
        <f ca="1"/>
        <v>Rossi</v>
      </c>
      <c r="F29" s="18">
        <f ca="1"/>
        <v>33129</v>
      </c>
      <c r="G29" s="26" t="str">
        <f ca="1"/>
        <v>M</v>
      </c>
      <c r="H29" s="18" t="str">
        <f ca="1"/>
        <v>GIOROS90M519</v>
      </c>
      <c r="I29" t="str">
        <f ca="1"/>
        <v>Web developer</v>
      </c>
      <c r="J29" s="18">
        <f ca="1"/>
        <v>44874</v>
      </c>
      <c r="K29" t="str">
        <f ca="1"/>
        <v>Web developer</v>
      </c>
      <c r="T29" t="str">
        <v>CD-029</v>
      </c>
    </row>
    <row r="30" spans="3:20" x14ac:dyDescent="0.25">
      <c r="C30" s="12" t="str">
        <f ca="1"/>
        <v>CD-190</v>
      </c>
      <c r="D30" s="21" t="str">
        <f ca="1"/>
        <v>Greta</v>
      </c>
      <c r="E30" s="12" t="str">
        <f ca="1"/>
        <v>Rossi</v>
      </c>
      <c r="F30" s="18">
        <f ca="1"/>
        <v>37914</v>
      </c>
      <c r="G30" s="26" t="str">
        <f ca="1"/>
        <v>F</v>
      </c>
      <c r="H30" s="18" t="str">
        <f ca="1"/>
        <v>GREROS03F986</v>
      </c>
      <c r="I30" t="str">
        <f ca="1"/>
        <v>Specialista di machine learning</v>
      </c>
      <c r="J30" s="18">
        <f ca="1"/>
        <v>44709</v>
      </c>
      <c r="K30" t="str">
        <f ca="1"/>
        <v>Esperto di intelligenza artificiale</v>
      </c>
      <c r="T30" t="str">
        <v>CD-030</v>
      </c>
    </row>
    <row r="31" spans="3:20" x14ac:dyDescent="0.25">
      <c r="C31" s="12" t="str">
        <f ca="1"/>
        <v>CD-193</v>
      </c>
      <c r="D31" s="21" t="str">
        <f ca="1"/>
        <v>Marta</v>
      </c>
      <c r="E31" s="12" t="str">
        <f ca="1"/>
        <v>Rossi</v>
      </c>
      <c r="F31" s="18">
        <f ca="1"/>
        <v>36154</v>
      </c>
      <c r="G31" s="26" t="str">
        <f ca="1"/>
        <v>F</v>
      </c>
      <c r="H31" s="18" t="str">
        <f ca="1"/>
        <v>MARROS98F871</v>
      </c>
      <c r="I31" t="str">
        <f ca="1"/>
        <v>Project manager IT</v>
      </c>
      <c r="J31" s="18">
        <f ca="1"/>
        <v>45184</v>
      </c>
      <c r="K31" t="str">
        <f ca="1"/>
        <v>Esperto di sicurezza informatica</v>
      </c>
      <c r="T31" t="str">
        <v>CD-031</v>
      </c>
    </row>
    <row r="32" spans="3:20" x14ac:dyDescent="0.25">
      <c r="C32" s="12" t="str">
        <f ca="1"/>
        <v>CD-244</v>
      </c>
      <c r="D32" s="21" t="str">
        <f ca="1"/>
        <v>Chiara</v>
      </c>
      <c r="E32" s="12" t="str">
        <f ca="1"/>
        <v>Rossi</v>
      </c>
      <c r="F32" s="18">
        <f ca="1"/>
        <v>35644</v>
      </c>
      <c r="G32" s="26" t="str">
        <f ca="1"/>
        <v>F</v>
      </c>
      <c r="H32" s="18" t="str">
        <f ca="1"/>
        <v>CHIROS97F922</v>
      </c>
      <c r="I32" t="str">
        <f ca="1"/>
        <v>Ingegnere del software back-end</v>
      </c>
      <c r="J32" s="18">
        <f ca="1"/>
        <v>44433</v>
      </c>
      <c r="K32" t="str">
        <f ca="1"/>
        <v>Architetto software</v>
      </c>
      <c r="T32" t="str">
        <v>CD-032</v>
      </c>
    </row>
    <row r="33" spans="20:20" x14ac:dyDescent="0.25">
      <c r="T33" t="str">
        <v>CD-033</v>
      </c>
    </row>
    <row r="34" spans="20:20" x14ac:dyDescent="0.25">
      <c r="T34" t="str">
        <v>CD-034</v>
      </c>
    </row>
    <row r="35" spans="20:20" x14ac:dyDescent="0.25">
      <c r="T35" t="str">
        <v>CD-035</v>
      </c>
    </row>
    <row r="36" spans="20:20" x14ac:dyDescent="0.25">
      <c r="T36" t="str">
        <v>CD-036</v>
      </c>
    </row>
    <row r="37" spans="20:20" x14ac:dyDescent="0.25">
      <c r="T37" t="str">
        <v>CD-037</v>
      </c>
    </row>
    <row r="38" spans="20:20" x14ac:dyDescent="0.25">
      <c r="T38" t="str">
        <v>CD-038</v>
      </c>
    </row>
    <row r="39" spans="20:20" x14ac:dyDescent="0.25">
      <c r="T39" t="str">
        <v>CD-039</v>
      </c>
    </row>
    <row r="40" spans="20:20" x14ac:dyDescent="0.25">
      <c r="T40" t="str">
        <v>CD-040</v>
      </c>
    </row>
    <row r="41" spans="20:20" x14ac:dyDescent="0.25">
      <c r="T41" t="str">
        <v>CD-041</v>
      </c>
    </row>
    <row r="42" spans="20:20" x14ac:dyDescent="0.25">
      <c r="T42" t="str">
        <v>CD-042</v>
      </c>
    </row>
    <row r="43" spans="20:20" x14ac:dyDescent="0.25">
      <c r="T43" t="str">
        <v>CD-043</v>
      </c>
    </row>
    <row r="44" spans="20:20" x14ac:dyDescent="0.25">
      <c r="T44" t="str">
        <v>CD-044</v>
      </c>
    </row>
    <row r="45" spans="20:20" x14ac:dyDescent="0.25">
      <c r="T45" t="str">
        <v>CD-045</v>
      </c>
    </row>
    <row r="46" spans="20:20" x14ac:dyDescent="0.25">
      <c r="T46" t="str">
        <v>CD-046</v>
      </c>
    </row>
    <row r="47" spans="20:20" x14ac:dyDescent="0.25">
      <c r="T47" t="str">
        <v>CD-047</v>
      </c>
    </row>
    <row r="48" spans="20:20" x14ac:dyDescent="0.25">
      <c r="T48" t="str">
        <v>CD-048</v>
      </c>
    </row>
    <row r="49" spans="20:20" x14ac:dyDescent="0.25">
      <c r="T49" t="str">
        <v>CD-049</v>
      </c>
    </row>
    <row r="50" spans="20:20" x14ac:dyDescent="0.25">
      <c r="T50" t="str">
        <v>CD-050</v>
      </c>
    </row>
    <row r="51" spans="20:20" x14ac:dyDescent="0.25">
      <c r="T51" t="str">
        <v>CD-051</v>
      </c>
    </row>
    <row r="52" spans="20:20" x14ac:dyDescent="0.25">
      <c r="T52" t="str">
        <v>CD-052</v>
      </c>
    </row>
    <row r="53" spans="20:20" x14ac:dyDescent="0.25">
      <c r="T53" t="str">
        <v>CD-053</v>
      </c>
    </row>
    <row r="54" spans="20:20" x14ac:dyDescent="0.25">
      <c r="T54" t="str">
        <v>CD-054</v>
      </c>
    </row>
    <row r="55" spans="20:20" x14ac:dyDescent="0.25">
      <c r="T55" t="str">
        <v>CD-055</v>
      </c>
    </row>
    <row r="56" spans="20:20" x14ac:dyDescent="0.25">
      <c r="T56" t="str">
        <v>CD-056</v>
      </c>
    </row>
    <row r="57" spans="20:20" x14ac:dyDescent="0.25">
      <c r="T57" t="str">
        <v>CD-057</v>
      </c>
    </row>
    <row r="58" spans="20:20" x14ac:dyDescent="0.25">
      <c r="T58" t="str">
        <v>CD-058</v>
      </c>
    </row>
    <row r="59" spans="20:20" x14ac:dyDescent="0.25">
      <c r="T59" t="str">
        <v>CD-059</v>
      </c>
    </row>
    <row r="60" spans="20:20" x14ac:dyDescent="0.25">
      <c r="T60" t="str">
        <v>CD-060</v>
      </c>
    </row>
    <row r="61" spans="20:20" x14ac:dyDescent="0.25">
      <c r="T61" t="str">
        <v>CD-061</v>
      </c>
    </row>
    <row r="62" spans="20:20" x14ac:dyDescent="0.25">
      <c r="T62" t="str">
        <v>CD-062</v>
      </c>
    </row>
    <row r="63" spans="20:20" x14ac:dyDescent="0.25">
      <c r="T63" t="str">
        <v>CD-063</v>
      </c>
    </row>
    <row r="64" spans="20:20" x14ac:dyDescent="0.25">
      <c r="T64" t="str">
        <v>CD-064</v>
      </c>
    </row>
    <row r="65" spans="20:20" x14ac:dyDescent="0.25">
      <c r="T65" t="str">
        <v>CD-065</v>
      </c>
    </row>
    <row r="66" spans="20:20" x14ac:dyDescent="0.25">
      <c r="T66" t="str">
        <v>CD-066</v>
      </c>
    </row>
    <row r="67" spans="20:20" x14ac:dyDescent="0.25">
      <c r="T67" t="str">
        <v>CD-067</v>
      </c>
    </row>
    <row r="68" spans="20:20" x14ac:dyDescent="0.25">
      <c r="T68" t="str">
        <v>CD-068</v>
      </c>
    </row>
    <row r="69" spans="20:20" x14ac:dyDescent="0.25">
      <c r="T69" t="str">
        <v>CD-069</v>
      </c>
    </row>
    <row r="70" spans="20:20" x14ac:dyDescent="0.25">
      <c r="T70" t="str">
        <v>CD-070</v>
      </c>
    </row>
    <row r="71" spans="20:20" x14ac:dyDescent="0.25">
      <c r="T71" t="str">
        <v>CD-071</v>
      </c>
    </row>
    <row r="72" spans="20:20" x14ac:dyDescent="0.25">
      <c r="T72" t="str">
        <v>CD-072</v>
      </c>
    </row>
    <row r="73" spans="20:20" x14ac:dyDescent="0.25">
      <c r="T73" t="str">
        <v>CD-073</v>
      </c>
    </row>
    <row r="74" spans="20:20" x14ac:dyDescent="0.25">
      <c r="T74" t="str">
        <v>CD-074</v>
      </c>
    </row>
    <row r="75" spans="20:20" x14ac:dyDescent="0.25">
      <c r="T75" t="str">
        <v>CD-075</v>
      </c>
    </row>
    <row r="76" spans="20:20" x14ac:dyDescent="0.25">
      <c r="T76" t="str">
        <v>CD-076</v>
      </c>
    </row>
    <row r="77" spans="20:20" x14ac:dyDescent="0.25">
      <c r="T77" t="str">
        <v>CD-077</v>
      </c>
    </row>
    <row r="78" spans="20:20" x14ac:dyDescent="0.25">
      <c r="T78" t="str">
        <v>CD-078</v>
      </c>
    </row>
    <row r="79" spans="20:20" x14ac:dyDescent="0.25">
      <c r="T79" t="str">
        <v>CD-079</v>
      </c>
    </row>
    <row r="80" spans="20:20" x14ac:dyDescent="0.25">
      <c r="T80" t="str">
        <v>CD-080</v>
      </c>
    </row>
    <row r="81" spans="20:20" x14ac:dyDescent="0.25">
      <c r="T81" t="str">
        <v>CD-081</v>
      </c>
    </row>
    <row r="82" spans="20:20" x14ac:dyDescent="0.25">
      <c r="T82" t="str">
        <v>CD-082</v>
      </c>
    </row>
    <row r="83" spans="20:20" x14ac:dyDescent="0.25">
      <c r="T83" t="str">
        <v>CD-083</v>
      </c>
    </row>
    <row r="84" spans="20:20" x14ac:dyDescent="0.25">
      <c r="T84" t="str">
        <v>CD-084</v>
      </c>
    </row>
    <row r="85" spans="20:20" x14ac:dyDescent="0.25">
      <c r="T85" t="str">
        <v>CD-085</v>
      </c>
    </row>
    <row r="86" spans="20:20" x14ac:dyDescent="0.25">
      <c r="T86" t="str">
        <v>CD-086</v>
      </c>
    </row>
    <row r="87" spans="20:20" x14ac:dyDescent="0.25">
      <c r="T87" t="str">
        <v>CD-087</v>
      </c>
    </row>
    <row r="88" spans="20:20" x14ac:dyDescent="0.25">
      <c r="T88" t="str">
        <v>CD-088</v>
      </c>
    </row>
    <row r="89" spans="20:20" x14ac:dyDescent="0.25">
      <c r="T89" t="str">
        <v>CD-089</v>
      </c>
    </row>
    <row r="90" spans="20:20" x14ac:dyDescent="0.25">
      <c r="T90" t="str">
        <v>CD-090</v>
      </c>
    </row>
    <row r="91" spans="20:20" x14ac:dyDescent="0.25">
      <c r="T91" t="str">
        <v>CD-091</v>
      </c>
    </row>
    <row r="92" spans="20:20" x14ac:dyDescent="0.25">
      <c r="T92" t="str">
        <v>CD-092</v>
      </c>
    </row>
    <row r="93" spans="20:20" x14ac:dyDescent="0.25">
      <c r="T93" t="str">
        <v>CD-093</v>
      </c>
    </row>
    <row r="94" spans="20:20" x14ac:dyDescent="0.25">
      <c r="T94" t="str">
        <v>CD-094</v>
      </c>
    </row>
    <row r="95" spans="20:20" x14ac:dyDescent="0.25">
      <c r="T95" t="str">
        <v>CD-095</v>
      </c>
    </row>
    <row r="96" spans="20:20" x14ac:dyDescent="0.25">
      <c r="T96" t="str">
        <v>CD-096</v>
      </c>
    </row>
    <row r="97" spans="20:20" x14ac:dyDescent="0.25">
      <c r="T97" t="str">
        <v>CD-097</v>
      </c>
    </row>
    <row r="98" spans="20:20" x14ac:dyDescent="0.25">
      <c r="T98" t="str">
        <v>CD-098</v>
      </c>
    </row>
    <row r="99" spans="20:20" x14ac:dyDescent="0.25">
      <c r="T99" t="str">
        <v>CD-099</v>
      </c>
    </row>
    <row r="100" spans="20:20" x14ac:dyDescent="0.25">
      <c r="T100" t="str">
        <v>CD-100</v>
      </c>
    </row>
    <row r="101" spans="20:20" x14ac:dyDescent="0.25">
      <c r="T101" t="str">
        <v>CD-101</v>
      </c>
    </row>
    <row r="102" spans="20:20" x14ac:dyDescent="0.25">
      <c r="T102" t="str">
        <v>CD-102</v>
      </c>
    </row>
    <row r="103" spans="20:20" x14ac:dyDescent="0.25">
      <c r="T103" t="str">
        <v>CD-103</v>
      </c>
    </row>
    <row r="104" spans="20:20" x14ac:dyDescent="0.25">
      <c r="T104" t="str">
        <v>CD-104</v>
      </c>
    </row>
    <row r="105" spans="20:20" x14ac:dyDescent="0.25">
      <c r="T105" t="str">
        <v>CD-105</v>
      </c>
    </row>
    <row r="106" spans="20:20" x14ac:dyDescent="0.25">
      <c r="T106" t="str">
        <v>CD-106</v>
      </c>
    </row>
    <row r="107" spans="20:20" x14ac:dyDescent="0.25">
      <c r="T107" t="str">
        <v>CD-107</v>
      </c>
    </row>
    <row r="108" spans="20:20" x14ac:dyDescent="0.25">
      <c r="T108" t="str">
        <v>CD-108</v>
      </c>
    </row>
    <row r="109" spans="20:20" x14ac:dyDescent="0.25">
      <c r="T109" t="str">
        <v>CD-109</v>
      </c>
    </row>
    <row r="110" spans="20:20" x14ac:dyDescent="0.25">
      <c r="T110" t="str">
        <v>CD-110</v>
      </c>
    </row>
    <row r="111" spans="20:20" x14ac:dyDescent="0.25">
      <c r="T111" t="str">
        <v>CD-111</v>
      </c>
    </row>
    <row r="112" spans="20:20" x14ac:dyDescent="0.25">
      <c r="T112" t="str">
        <v>CD-112</v>
      </c>
    </row>
    <row r="113" spans="20:20" x14ac:dyDescent="0.25">
      <c r="T113" t="str">
        <v>CD-113</v>
      </c>
    </row>
    <row r="114" spans="20:20" x14ac:dyDescent="0.25">
      <c r="T114" t="str">
        <v>CD-114</v>
      </c>
    </row>
    <row r="115" spans="20:20" x14ac:dyDescent="0.25">
      <c r="T115" t="str">
        <v>CD-115</v>
      </c>
    </row>
    <row r="116" spans="20:20" x14ac:dyDescent="0.25">
      <c r="T116" t="str">
        <v>CD-116</v>
      </c>
    </row>
    <row r="117" spans="20:20" x14ac:dyDescent="0.25">
      <c r="T117" t="str">
        <v>CD-117</v>
      </c>
    </row>
    <row r="118" spans="20:20" x14ac:dyDescent="0.25">
      <c r="T118" t="str">
        <v>CD-118</v>
      </c>
    </row>
    <row r="119" spans="20:20" x14ac:dyDescent="0.25">
      <c r="T119" t="str">
        <v>CD-119</v>
      </c>
    </row>
    <row r="120" spans="20:20" x14ac:dyDescent="0.25">
      <c r="T120" t="str">
        <v>CD-120</v>
      </c>
    </row>
    <row r="121" spans="20:20" x14ac:dyDescent="0.25">
      <c r="T121" t="str">
        <v>CD-121</v>
      </c>
    </row>
    <row r="122" spans="20:20" x14ac:dyDescent="0.25">
      <c r="T122" t="str">
        <v>CD-122</v>
      </c>
    </row>
    <row r="123" spans="20:20" x14ac:dyDescent="0.25">
      <c r="T123" t="str">
        <v>CD-123</v>
      </c>
    </row>
    <row r="124" spans="20:20" x14ac:dyDescent="0.25">
      <c r="T124" t="str">
        <v>CD-124</v>
      </c>
    </row>
    <row r="125" spans="20:20" x14ac:dyDescent="0.25">
      <c r="T125" t="str">
        <v>CD-125</v>
      </c>
    </row>
    <row r="126" spans="20:20" x14ac:dyDescent="0.25">
      <c r="T126" t="str">
        <v>CD-126</v>
      </c>
    </row>
    <row r="127" spans="20:20" x14ac:dyDescent="0.25">
      <c r="T127" t="str">
        <v>CD-127</v>
      </c>
    </row>
    <row r="128" spans="20:20" x14ac:dyDescent="0.25">
      <c r="T128" t="str">
        <v>CD-128</v>
      </c>
    </row>
    <row r="129" spans="20:20" x14ac:dyDescent="0.25">
      <c r="T129" t="str">
        <v>CD-129</v>
      </c>
    </row>
    <row r="130" spans="20:20" x14ac:dyDescent="0.25">
      <c r="T130" t="str">
        <v>CD-130</v>
      </c>
    </row>
    <row r="131" spans="20:20" x14ac:dyDescent="0.25">
      <c r="T131" t="str">
        <v>CD-131</v>
      </c>
    </row>
    <row r="132" spans="20:20" x14ac:dyDescent="0.25">
      <c r="T132" t="str">
        <v>CD-132</v>
      </c>
    </row>
    <row r="133" spans="20:20" x14ac:dyDescent="0.25">
      <c r="T133" t="str">
        <v>CD-133</v>
      </c>
    </row>
    <row r="134" spans="20:20" x14ac:dyDescent="0.25">
      <c r="T134" t="str">
        <v>CD-134</v>
      </c>
    </row>
    <row r="135" spans="20:20" x14ac:dyDescent="0.25">
      <c r="T135" t="str">
        <v>CD-135</v>
      </c>
    </row>
    <row r="136" spans="20:20" x14ac:dyDescent="0.25">
      <c r="T136" t="str">
        <v>CD-136</v>
      </c>
    </row>
    <row r="137" spans="20:20" x14ac:dyDescent="0.25">
      <c r="T137" t="str">
        <v>CD-137</v>
      </c>
    </row>
    <row r="138" spans="20:20" x14ac:dyDescent="0.25">
      <c r="T138" t="str">
        <v>CD-138</v>
      </c>
    </row>
    <row r="139" spans="20:20" x14ac:dyDescent="0.25">
      <c r="T139" t="str">
        <v>CD-139</v>
      </c>
    </row>
    <row r="140" spans="20:20" x14ac:dyDescent="0.25">
      <c r="T140" t="str">
        <v>CD-140</v>
      </c>
    </row>
    <row r="141" spans="20:20" x14ac:dyDescent="0.25">
      <c r="T141" t="str">
        <v>CD-141</v>
      </c>
    </row>
    <row r="142" spans="20:20" x14ac:dyDescent="0.25">
      <c r="T142" t="str">
        <v>CD-142</v>
      </c>
    </row>
    <row r="143" spans="20:20" x14ac:dyDescent="0.25">
      <c r="T143" t="str">
        <v>CD-143</v>
      </c>
    </row>
    <row r="144" spans="20:20" x14ac:dyDescent="0.25">
      <c r="T144" t="str">
        <v>CD-144</v>
      </c>
    </row>
    <row r="145" spans="20:20" x14ac:dyDescent="0.25">
      <c r="T145" t="str">
        <v>CD-145</v>
      </c>
    </row>
    <row r="146" spans="20:20" x14ac:dyDescent="0.25">
      <c r="T146" t="str">
        <v>CD-146</v>
      </c>
    </row>
    <row r="147" spans="20:20" x14ac:dyDescent="0.25">
      <c r="T147" t="str">
        <v>CD-147</v>
      </c>
    </row>
    <row r="148" spans="20:20" x14ac:dyDescent="0.25">
      <c r="T148" t="str">
        <v>CD-148</v>
      </c>
    </row>
    <row r="149" spans="20:20" x14ac:dyDescent="0.25">
      <c r="T149" t="str">
        <v>CD-149</v>
      </c>
    </row>
    <row r="150" spans="20:20" x14ac:dyDescent="0.25">
      <c r="T150" t="str">
        <v>CD-150</v>
      </c>
    </row>
    <row r="151" spans="20:20" x14ac:dyDescent="0.25">
      <c r="T151" t="str">
        <v>CD-151</v>
      </c>
    </row>
    <row r="152" spans="20:20" x14ac:dyDescent="0.25">
      <c r="T152" t="str">
        <v>CD-152</v>
      </c>
    </row>
    <row r="153" spans="20:20" x14ac:dyDescent="0.25">
      <c r="T153" t="str">
        <v>CD-153</v>
      </c>
    </row>
    <row r="154" spans="20:20" x14ac:dyDescent="0.25">
      <c r="T154" t="str">
        <v>CD-154</v>
      </c>
    </row>
    <row r="155" spans="20:20" x14ac:dyDescent="0.25">
      <c r="T155" t="str">
        <v>CD-155</v>
      </c>
    </row>
    <row r="156" spans="20:20" x14ac:dyDescent="0.25">
      <c r="T156" t="str">
        <v>CD-156</v>
      </c>
    </row>
    <row r="157" spans="20:20" x14ac:dyDescent="0.25">
      <c r="T157" t="str">
        <v>CD-157</v>
      </c>
    </row>
    <row r="158" spans="20:20" x14ac:dyDescent="0.25">
      <c r="T158" t="str">
        <v>CD-158</v>
      </c>
    </row>
    <row r="159" spans="20:20" x14ac:dyDescent="0.25">
      <c r="T159" t="str">
        <v>CD-159</v>
      </c>
    </row>
    <row r="160" spans="20:20" x14ac:dyDescent="0.25">
      <c r="T160" t="str">
        <v>CD-160</v>
      </c>
    </row>
    <row r="161" spans="20:20" x14ac:dyDescent="0.25">
      <c r="T161" t="str">
        <v>CD-161</v>
      </c>
    </row>
    <row r="162" spans="20:20" x14ac:dyDescent="0.25">
      <c r="T162" t="str">
        <v>CD-162</v>
      </c>
    </row>
    <row r="163" spans="20:20" x14ac:dyDescent="0.25">
      <c r="T163" t="str">
        <v>CD-163</v>
      </c>
    </row>
    <row r="164" spans="20:20" x14ac:dyDescent="0.25">
      <c r="T164" t="str">
        <v>CD-164</v>
      </c>
    </row>
    <row r="165" spans="20:20" x14ac:dyDescent="0.25">
      <c r="T165" t="str">
        <v>CD-165</v>
      </c>
    </row>
    <row r="166" spans="20:20" x14ac:dyDescent="0.25">
      <c r="T166" t="str">
        <v>CD-166</v>
      </c>
    </row>
    <row r="167" spans="20:20" x14ac:dyDescent="0.25">
      <c r="T167" t="str">
        <v>CD-167</v>
      </c>
    </row>
    <row r="168" spans="20:20" x14ac:dyDescent="0.25">
      <c r="T168" t="str">
        <v>CD-168</v>
      </c>
    </row>
    <row r="169" spans="20:20" x14ac:dyDescent="0.25">
      <c r="T169" t="str">
        <v>CD-169</v>
      </c>
    </row>
    <row r="170" spans="20:20" x14ac:dyDescent="0.25">
      <c r="T170" t="str">
        <v>CD-170</v>
      </c>
    </row>
    <row r="171" spans="20:20" x14ac:dyDescent="0.25">
      <c r="T171" t="str">
        <v>CD-171</v>
      </c>
    </row>
    <row r="172" spans="20:20" x14ac:dyDescent="0.25">
      <c r="T172" t="str">
        <v>CD-172</v>
      </c>
    </row>
    <row r="173" spans="20:20" x14ac:dyDescent="0.25">
      <c r="T173" t="str">
        <v>CD-173</v>
      </c>
    </row>
    <row r="174" spans="20:20" x14ac:dyDescent="0.25">
      <c r="T174" t="str">
        <v>CD-174</v>
      </c>
    </row>
    <row r="175" spans="20:20" x14ac:dyDescent="0.25">
      <c r="T175" t="str">
        <v>CD-175</v>
      </c>
    </row>
    <row r="176" spans="20:20" x14ac:dyDescent="0.25">
      <c r="T176" t="str">
        <v>CD-176</v>
      </c>
    </row>
    <row r="177" spans="20:20" x14ac:dyDescent="0.25">
      <c r="T177" t="str">
        <v>CD-177</v>
      </c>
    </row>
    <row r="178" spans="20:20" x14ac:dyDescent="0.25">
      <c r="T178" t="str">
        <v>CD-178</v>
      </c>
    </row>
    <row r="179" spans="20:20" x14ac:dyDescent="0.25">
      <c r="T179" t="str">
        <v>CD-179</v>
      </c>
    </row>
    <row r="180" spans="20:20" x14ac:dyDescent="0.25">
      <c r="T180" t="str">
        <v>CD-180</v>
      </c>
    </row>
    <row r="181" spans="20:20" x14ac:dyDescent="0.25">
      <c r="T181" t="str">
        <v>CD-181</v>
      </c>
    </row>
    <row r="182" spans="20:20" x14ac:dyDescent="0.25">
      <c r="T182" t="str">
        <v>CD-182</v>
      </c>
    </row>
    <row r="183" spans="20:20" x14ac:dyDescent="0.25">
      <c r="T183" t="str">
        <v>CD-183</v>
      </c>
    </row>
    <row r="184" spans="20:20" x14ac:dyDescent="0.25">
      <c r="T184" t="str">
        <v>CD-184</v>
      </c>
    </row>
    <row r="185" spans="20:20" x14ac:dyDescent="0.25">
      <c r="T185" t="str">
        <v>CD-185</v>
      </c>
    </row>
    <row r="186" spans="20:20" x14ac:dyDescent="0.25">
      <c r="T186" t="str">
        <v>CD-186</v>
      </c>
    </row>
    <row r="187" spans="20:20" x14ac:dyDescent="0.25">
      <c r="T187" t="str">
        <v>CD-187</v>
      </c>
    </row>
    <row r="188" spans="20:20" x14ac:dyDescent="0.25">
      <c r="T188" t="str">
        <v>CD-188</v>
      </c>
    </row>
    <row r="189" spans="20:20" x14ac:dyDescent="0.25">
      <c r="T189" t="str">
        <v>CD-189</v>
      </c>
    </row>
    <row r="190" spans="20:20" x14ac:dyDescent="0.25">
      <c r="T190" t="str">
        <v>CD-190</v>
      </c>
    </row>
    <row r="191" spans="20:20" x14ac:dyDescent="0.25">
      <c r="T191" t="str">
        <v>CD-191</v>
      </c>
    </row>
    <row r="192" spans="20:20" x14ac:dyDescent="0.25">
      <c r="T192" t="str">
        <v>CD-192</v>
      </c>
    </row>
    <row r="193" spans="20:20" x14ac:dyDescent="0.25">
      <c r="T193" t="str">
        <v>CD-193</v>
      </c>
    </row>
    <row r="194" spans="20:20" x14ac:dyDescent="0.25">
      <c r="T194" t="str">
        <v>CD-194</v>
      </c>
    </row>
    <row r="195" spans="20:20" x14ac:dyDescent="0.25">
      <c r="T195" t="str">
        <v>CD-195</v>
      </c>
    </row>
    <row r="196" spans="20:20" x14ac:dyDescent="0.25">
      <c r="T196" t="str">
        <v>CD-196</v>
      </c>
    </row>
    <row r="197" spans="20:20" x14ac:dyDescent="0.25">
      <c r="T197" t="str">
        <v>CD-197</v>
      </c>
    </row>
    <row r="198" spans="20:20" x14ac:dyDescent="0.25">
      <c r="T198" t="str">
        <v>CD-198</v>
      </c>
    </row>
    <row r="199" spans="20:20" x14ac:dyDescent="0.25">
      <c r="T199" t="str">
        <v>CD-199</v>
      </c>
    </row>
    <row r="200" spans="20:20" x14ac:dyDescent="0.25">
      <c r="T200" t="str">
        <v>CD-200</v>
      </c>
    </row>
    <row r="201" spans="20:20" x14ac:dyDescent="0.25">
      <c r="T201" t="str">
        <v>CD-201</v>
      </c>
    </row>
    <row r="202" spans="20:20" x14ac:dyDescent="0.25">
      <c r="T202" t="str">
        <v>CD-202</v>
      </c>
    </row>
    <row r="203" spans="20:20" x14ac:dyDescent="0.25">
      <c r="T203" t="str">
        <v>CD-203</v>
      </c>
    </row>
    <row r="204" spans="20:20" x14ac:dyDescent="0.25">
      <c r="T204" t="str">
        <v>CD-204</v>
      </c>
    </row>
    <row r="205" spans="20:20" x14ac:dyDescent="0.25">
      <c r="T205" t="str">
        <v>CD-205</v>
      </c>
    </row>
    <row r="206" spans="20:20" x14ac:dyDescent="0.25">
      <c r="T206" t="str">
        <v>CD-206</v>
      </c>
    </row>
    <row r="207" spans="20:20" x14ac:dyDescent="0.25">
      <c r="T207" t="str">
        <v>CD-207</v>
      </c>
    </row>
    <row r="208" spans="20:20" x14ac:dyDescent="0.25">
      <c r="T208" t="str">
        <v>CD-208</v>
      </c>
    </row>
    <row r="209" spans="20:20" x14ac:dyDescent="0.25">
      <c r="T209" t="str">
        <v>CD-209</v>
      </c>
    </row>
    <row r="210" spans="20:20" x14ac:dyDescent="0.25">
      <c r="T210" t="str">
        <v>CD-210</v>
      </c>
    </row>
    <row r="211" spans="20:20" x14ac:dyDescent="0.25">
      <c r="T211" t="str">
        <v>CD-211</v>
      </c>
    </row>
    <row r="212" spans="20:20" x14ac:dyDescent="0.25">
      <c r="T212" t="str">
        <v>CD-212</v>
      </c>
    </row>
    <row r="213" spans="20:20" x14ac:dyDescent="0.25">
      <c r="T213" t="str">
        <v>CD-213</v>
      </c>
    </row>
    <row r="214" spans="20:20" x14ac:dyDescent="0.25">
      <c r="T214" t="str">
        <v>CD-214</v>
      </c>
    </row>
    <row r="215" spans="20:20" x14ac:dyDescent="0.25">
      <c r="T215" t="str">
        <v>CD-215</v>
      </c>
    </row>
    <row r="216" spans="20:20" x14ac:dyDescent="0.25">
      <c r="T216" t="str">
        <v>CD-216</v>
      </c>
    </row>
    <row r="217" spans="20:20" x14ac:dyDescent="0.25">
      <c r="T217" t="str">
        <v>CD-217</v>
      </c>
    </row>
    <row r="218" spans="20:20" x14ac:dyDescent="0.25">
      <c r="T218" t="str">
        <v>CD-218</v>
      </c>
    </row>
    <row r="219" spans="20:20" x14ac:dyDescent="0.25">
      <c r="T219" t="str">
        <v>CD-219</v>
      </c>
    </row>
    <row r="220" spans="20:20" x14ac:dyDescent="0.25">
      <c r="T220" t="str">
        <v>CD-220</v>
      </c>
    </row>
    <row r="221" spans="20:20" x14ac:dyDescent="0.25">
      <c r="T221" t="str">
        <v>CD-221</v>
      </c>
    </row>
    <row r="222" spans="20:20" x14ac:dyDescent="0.25">
      <c r="T222" t="str">
        <v>CD-222</v>
      </c>
    </row>
    <row r="223" spans="20:20" x14ac:dyDescent="0.25">
      <c r="T223" t="str">
        <v>CD-223</v>
      </c>
    </row>
    <row r="224" spans="20:20" x14ac:dyDescent="0.25">
      <c r="T224" t="str">
        <v>CD-224</v>
      </c>
    </row>
    <row r="225" spans="20:20" x14ac:dyDescent="0.25">
      <c r="T225" t="str">
        <v>CD-225</v>
      </c>
    </row>
    <row r="226" spans="20:20" x14ac:dyDescent="0.25">
      <c r="T226" t="str">
        <v>CD-226</v>
      </c>
    </row>
    <row r="227" spans="20:20" x14ac:dyDescent="0.25">
      <c r="T227" t="str">
        <v>CD-227</v>
      </c>
    </row>
    <row r="228" spans="20:20" x14ac:dyDescent="0.25">
      <c r="T228" t="str">
        <v>CD-228</v>
      </c>
    </row>
    <row r="229" spans="20:20" x14ac:dyDescent="0.25">
      <c r="T229" t="str">
        <v>CD-229</v>
      </c>
    </row>
    <row r="230" spans="20:20" x14ac:dyDescent="0.25">
      <c r="T230" t="str">
        <v>CD-230</v>
      </c>
    </row>
    <row r="231" spans="20:20" x14ac:dyDescent="0.25">
      <c r="T231" t="str">
        <v>CD-231</v>
      </c>
    </row>
    <row r="232" spans="20:20" x14ac:dyDescent="0.25">
      <c r="T232" t="str">
        <v>CD-232</v>
      </c>
    </row>
    <row r="233" spans="20:20" x14ac:dyDescent="0.25">
      <c r="T233" t="str">
        <v>CD-233</v>
      </c>
    </row>
    <row r="234" spans="20:20" x14ac:dyDescent="0.25">
      <c r="T234" t="str">
        <v>CD-234</v>
      </c>
    </row>
    <row r="235" spans="20:20" x14ac:dyDescent="0.25">
      <c r="T235" t="str">
        <v>CD-235</v>
      </c>
    </row>
    <row r="236" spans="20:20" x14ac:dyDescent="0.25">
      <c r="T236" t="str">
        <v>CD-236</v>
      </c>
    </row>
    <row r="237" spans="20:20" x14ac:dyDescent="0.25">
      <c r="T237" t="str">
        <v>CD-237</v>
      </c>
    </row>
    <row r="238" spans="20:20" x14ac:dyDescent="0.25">
      <c r="T238" t="str">
        <v>CD-238</v>
      </c>
    </row>
    <row r="239" spans="20:20" x14ac:dyDescent="0.25">
      <c r="T239" t="str">
        <v>CD-239</v>
      </c>
    </row>
    <row r="240" spans="20:20" x14ac:dyDescent="0.25">
      <c r="T240" t="str">
        <v>CD-240</v>
      </c>
    </row>
    <row r="241" spans="20:20" x14ac:dyDescent="0.25">
      <c r="T241" t="str">
        <v>CD-241</v>
      </c>
    </row>
    <row r="242" spans="20:20" x14ac:dyDescent="0.25">
      <c r="T242" t="str">
        <v>CD-242</v>
      </c>
    </row>
    <row r="243" spans="20:20" x14ac:dyDescent="0.25">
      <c r="T243" t="str">
        <v>CD-243</v>
      </c>
    </row>
    <row r="244" spans="20:20" x14ac:dyDescent="0.25">
      <c r="T244" t="str">
        <v>CD-244</v>
      </c>
    </row>
    <row r="245" spans="20:20" x14ac:dyDescent="0.25">
      <c r="T245" t="str">
        <v>CD-245</v>
      </c>
    </row>
    <row r="246" spans="20:20" x14ac:dyDescent="0.25">
      <c r="T246" t="str">
        <v>CD-246</v>
      </c>
    </row>
    <row r="247" spans="20:20" x14ac:dyDescent="0.25">
      <c r="T247" t="str">
        <v>CD-247</v>
      </c>
    </row>
    <row r="248" spans="20:20" x14ac:dyDescent="0.25">
      <c r="T248" t="str">
        <v>CD-248</v>
      </c>
    </row>
    <row r="249" spans="20:20" x14ac:dyDescent="0.25">
      <c r="T249" t="str">
        <v>CD-249</v>
      </c>
    </row>
    <row r="250" spans="20:20" x14ac:dyDescent="0.25">
      <c r="T250" t="str">
        <v>CD-250</v>
      </c>
    </row>
  </sheetData>
  <mergeCells count="7">
    <mergeCell ref="H22:I22"/>
    <mergeCell ref="N3:P4"/>
    <mergeCell ref="C3:L4"/>
    <mergeCell ref="F19:I20"/>
    <mergeCell ref="F21:G21"/>
    <mergeCell ref="H21:I21"/>
    <mergeCell ref="F22:G22"/>
  </mergeCells>
  <dataValidations count="5">
    <dataValidation type="list" allowBlank="1" showInputMessage="1" showErrorMessage="1" sqref="F22" xr:uid="{C7BBED20-0DA1-438D-8ABB-8B598C79F6C5}">
      <formula1>$Q$7:$Q$15</formula1>
    </dataValidation>
    <dataValidation type="list" allowBlank="1" showInputMessage="1" showErrorMessage="1" promptTitle="Inserire ID Candidato" prompt="Inserire l'ID del candidato di cui si desidera rimuovere i dati." sqref="O7" xr:uid="{DEA0E88B-EEAB-4497-AE7C-36A23C8894E8}">
      <formula1>OFFSET(T1,,,COUNTA(T:T))</formula1>
    </dataValidation>
    <dataValidation type="list" allowBlank="1" showInputMessage="1" showErrorMessage="1" sqref="K20" xr:uid="{24F581C8-E22E-4E72-AC96-BF414348E89C}">
      <formula1>OFFSET(S1,,,COUNTA(S:S))</formula1>
    </dataValidation>
    <dataValidation type="list" allowBlank="1" showInputMessage="1" showErrorMessage="1" sqref="K12" xr:uid="{EB93A931-FCB9-4D63-A952-6A9313A7C667}">
      <formula1>OFFSET(R1,,,COUNTA(R:R))</formula1>
    </dataValidation>
    <dataValidation type="list" allowBlank="1" showInputMessage="1" showErrorMessage="1" sqref="I12" xr:uid="{010B332C-DC68-4126-B29B-12CF37F3CC3C}">
      <formula1>OFFSET(R1,,,COUNTA(S:S))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uesta_cartella_di_lavoro.Copia_Oggi">
                <anchor moveWithCells="1" sizeWithCells="1">
                  <from>
                    <xdr:col>9</xdr:col>
                    <xdr:colOff>85725</xdr:colOff>
                    <xdr:row>10</xdr:row>
                    <xdr:rowOff>28575</xdr:rowOff>
                  </from>
                  <to>
                    <xdr:col>9</xdr:col>
                    <xdr:colOff>962025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Questa_cartella_di_lavoro.Esp_Prec">
                <anchor moveWithCells="1" sizeWithCells="1">
                  <from>
                    <xdr:col>8</xdr:col>
                    <xdr:colOff>247650</xdr:colOff>
                    <xdr:row>12</xdr:row>
                    <xdr:rowOff>76200</xdr:rowOff>
                  </from>
                  <to>
                    <xdr:col>8</xdr:col>
                    <xdr:colOff>1162050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Questa_cartella_di_lavoro.Esp_Ric">
                <anchor moveWithCells="1" sizeWithCells="1">
                  <from>
                    <xdr:col>10</xdr:col>
                    <xdr:colOff>495300</xdr:colOff>
                    <xdr:row>12</xdr:row>
                    <xdr:rowOff>95250</xdr:rowOff>
                  </from>
                  <to>
                    <xdr:col>10</xdr:col>
                    <xdr:colOff>1619250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Questa_cartella_di_lavoro.Ins_Candidato">
                <anchor moveWithCells="1" sizeWithCells="1">
                  <from>
                    <xdr:col>11</xdr:col>
                    <xdr:colOff>257175</xdr:colOff>
                    <xdr:row>6</xdr:row>
                    <xdr:rowOff>47625</xdr:rowOff>
                  </from>
                  <to>
                    <xdr:col>11</xdr:col>
                    <xdr:colOff>1809750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Questa_cartella_di_lavoro.Esp_Ricercata">
                <anchor moveWithCells="1" sizeWithCells="1">
                  <from>
                    <xdr:col>10</xdr:col>
                    <xdr:colOff>495300</xdr:colOff>
                    <xdr:row>20</xdr:row>
                    <xdr:rowOff>95250</xdr:rowOff>
                  </from>
                  <to>
                    <xdr:col>10</xdr:col>
                    <xdr:colOff>1619250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Questa_cartella_di_lavoro.Elimina_Record">
                <anchor moveWithCells="1" sizeWithCells="1">
                  <from>
                    <xdr:col>14</xdr:col>
                    <xdr:colOff>171450</xdr:colOff>
                    <xdr:row>7</xdr:row>
                    <xdr:rowOff>152400</xdr:rowOff>
                  </from>
                  <to>
                    <xdr:col>14</xdr:col>
                    <xdr:colOff>1343025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D793-7C49-4964-8268-BAC91F028D65}">
  <sheetPr codeName="Foglio4">
    <tabColor theme="4" tint="0.79998168889431442"/>
  </sheetPr>
  <dimension ref="B1:V51"/>
  <sheetViews>
    <sheetView topLeftCell="A22" workbookViewId="0">
      <selection activeCell="F59" sqref="F59"/>
    </sheetView>
  </sheetViews>
  <sheetFormatPr defaultRowHeight="15" x14ac:dyDescent="0.25"/>
  <cols>
    <col min="2" max="2" width="33.140625" customWidth="1"/>
    <col min="3" max="3" width="19.85546875" style="12" customWidth="1"/>
    <col min="4" max="4" width="13" customWidth="1"/>
    <col min="5" max="5" width="34.140625" style="1" customWidth="1"/>
    <col min="6" max="6" width="26.140625" style="16" customWidth="1"/>
    <col min="7" max="7" width="26.42578125" bestFit="1" customWidth="1"/>
    <col min="8" max="8" width="46" bestFit="1" customWidth="1"/>
    <col min="9" max="9" width="28.85546875" style="1" customWidth="1"/>
    <col min="10" max="10" width="48.85546875" bestFit="1" customWidth="1"/>
    <col min="11" max="11" width="11" customWidth="1"/>
    <col min="19" max="19" width="18.85546875" customWidth="1"/>
    <col min="21" max="21" width="15.28515625" customWidth="1"/>
  </cols>
  <sheetData>
    <row r="1" spans="2:22" x14ac:dyDescent="0.25">
      <c r="S1" t="str" cm="1">
        <f t="array" ref="S1:S24">_xlfn.UNIQUE(Candidati[Posizione ricercata])</f>
        <v>Analista QA (Quality Assurance)</v>
      </c>
      <c r="T1" cm="1">
        <f t="array" ref="T1:T24">COUNTIFS(Candidati[Posizione ricercata],_xlfn.UNIQUE(Candidati[Posizione ricercata]))</f>
        <v>11</v>
      </c>
      <c r="U1" t="str" cm="1">
        <f t="array" ref="U1:U24">_xlfn.UNIQUE(Candidati[Posizione precedente])</f>
        <v>Esperto di DevOps</v>
      </c>
      <c r="V1" cm="1">
        <f t="array" ref="V1:V24">COUNTIFS(Candidati[Posizione precedente],_xlfn.UNIQUE(Candidati[Posizione precedente]))</f>
        <v>7</v>
      </c>
    </row>
    <row r="2" spans="2:22" ht="39.75" customHeight="1" x14ac:dyDescent="0.25">
      <c r="S2" t="str">
        <v>Amministratore del database</v>
      </c>
      <c r="T2">
        <v>15</v>
      </c>
      <c r="U2" t="str">
        <v>Web developer</v>
      </c>
      <c r="V2">
        <v>10</v>
      </c>
    </row>
    <row r="3" spans="2:22" x14ac:dyDescent="0.25">
      <c r="S3" t="str">
        <v>Specialista di machine learning</v>
      </c>
      <c r="T3">
        <v>15</v>
      </c>
      <c r="U3" t="str">
        <v>Ingegnere del software back-end</v>
      </c>
      <c r="V3">
        <v>12</v>
      </c>
    </row>
    <row r="4" spans="2:22" x14ac:dyDescent="0.25">
      <c r="F4" s="77"/>
      <c r="S4" t="str">
        <v>Ingegnere del software embedded</v>
      </c>
      <c r="T4">
        <v>12</v>
      </c>
      <c r="U4" t="str">
        <v>Amministratore del database</v>
      </c>
      <c r="V4">
        <v>11</v>
      </c>
    </row>
    <row r="5" spans="2:22" x14ac:dyDescent="0.25">
      <c r="S5" t="str">
        <v>Specialista di reti neurali</v>
      </c>
      <c r="T5">
        <v>11</v>
      </c>
      <c r="U5" t="str">
        <v>Esperto di sicurezza informatica</v>
      </c>
      <c r="V5">
        <v>10</v>
      </c>
    </row>
    <row r="6" spans="2:22" ht="10.5" customHeight="1" thickBot="1" x14ac:dyDescent="0.3">
      <c r="S6" t="str">
        <v>Architetto software</v>
      </c>
      <c r="T6">
        <v>10</v>
      </c>
      <c r="U6" t="str">
        <v>Ingegnere del software embedded</v>
      </c>
      <c r="V6">
        <v>6</v>
      </c>
    </row>
    <row r="7" spans="2:22" ht="46.5" customHeight="1" x14ac:dyDescent="0.25">
      <c r="B7" s="62" t="s">
        <v>625</v>
      </c>
      <c r="C7" s="63"/>
      <c r="D7" s="63"/>
      <c r="E7" s="63"/>
      <c r="F7" s="63"/>
      <c r="G7" s="63"/>
      <c r="H7" s="63"/>
      <c r="I7" s="63"/>
      <c r="J7" s="63"/>
      <c r="K7" s="64"/>
      <c r="S7" t="str">
        <v>Esperto di intelligenza artificiale</v>
      </c>
      <c r="T7">
        <v>10</v>
      </c>
      <c r="U7" t="str">
        <v>Ingegnere di rete</v>
      </c>
      <c r="V7">
        <v>15</v>
      </c>
    </row>
    <row r="8" spans="2:22" ht="15.75" thickBot="1" x14ac:dyDescent="0.3">
      <c r="B8" s="65" t="s">
        <v>367</v>
      </c>
      <c r="C8" s="66" t="s">
        <v>0</v>
      </c>
      <c r="D8" s="66" t="s">
        <v>1</v>
      </c>
      <c r="E8" s="67" t="s">
        <v>2</v>
      </c>
      <c r="F8" s="68" t="s">
        <v>3</v>
      </c>
      <c r="G8" s="66" t="s">
        <v>4</v>
      </c>
      <c r="H8" s="66" t="s">
        <v>5</v>
      </c>
      <c r="I8" s="67" t="s">
        <v>6</v>
      </c>
      <c r="J8" s="66" t="s">
        <v>7</v>
      </c>
      <c r="K8" s="69" t="s">
        <v>626</v>
      </c>
      <c r="S8" t="str">
        <v>Esperto di DevOps</v>
      </c>
      <c r="T8">
        <v>5</v>
      </c>
      <c r="U8" t="str">
        <v>Ingegnere del firmware</v>
      </c>
      <c r="V8">
        <v>7</v>
      </c>
    </row>
    <row r="9" spans="2:22" ht="23.25" x14ac:dyDescent="0.35">
      <c r="B9" s="79" t="str" cm="1">
        <f t="array" ref="B9:J9">_xlfn._xlws.FILTER(Candidati[],Candidati[Data di nascita]=MIN(Candidati[Data di nascita]))</f>
        <v>CD-057</v>
      </c>
      <c r="C9" s="79" t="str">
        <v>Enrico</v>
      </c>
      <c r="D9" s="79" t="str">
        <v>Romano</v>
      </c>
      <c r="E9" s="80">
        <v>32879</v>
      </c>
      <c r="F9" s="79" t="str">
        <v>M</v>
      </c>
      <c r="G9" s="79" t="str">
        <v>ENRROM90M235</v>
      </c>
      <c r="H9" s="79" t="str">
        <v>Specialista di machine learning</v>
      </c>
      <c r="I9" s="80">
        <v>44739</v>
      </c>
      <c r="J9" s="79" t="str">
        <v>Ingegnere del software front-end</v>
      </c>
      <c r="K9" s="81">
        <f ca="1">_xlfn.DAYS(TODAY(),E9)/365</f>
        <v>33.980821917808221</v>
      </c>
      <c r="S9" t="str">
        <v>Esperto di sicurezza informatica</v>
      </c>
      <c r="T9">
        <v>8</v>
      </c>
      <c r="U9" t="str">
        <v>Architetto software</v>
      </c>
      <c r="V9">
        <v>12</v>
      </c>
    </row>
    <row r="10" spans="2:22" ht="15.75" thickBot="1" x14ac:dyDescent="0.3">
      <c r="S10" t="str">
        <v>Ingegnere del software</v>
      </c>
      <c r="T10">
        <v>8</v>
      </c>
      <c r="U10" t="str">
        <v>Amministratore di sistema</v>
      </c>
      <c r="V10">
        <v>10</v>
      </c>
    </row>
    <row r="11" spans="2:22" ht="31.5" x14ac:dyDescent="0.25">
      <c r="B11" s="62" t="s">
        <v>627</v>
      </c>
      <c r="C11" s="63"/>
      <c r="D11" s="63"/>
      <c r="E11" s="63"/>
      <c r="F11" s="63"/>
      <c r="G11" s="63"/>
      <c r="H11" s="63"/>
      <c r="I11" s="63"/>
      <c r="J11" s="63"/>
      <c r="K11" s="64"/>
      <c r="S11" t="str">
        <v>Data scientist</v>
      </c>
      <c r="T11">
        <v>10</v>
      </c>
      <c r="U11" t="str">
        <v>Analista di sicurezza informatica</v>
      </c>
      <c r="V11">
        <v>9</v>
      </c>
    </row>
    <row r="12" spans="2:22" ht="15.75" thickBot="1" x14ac:dyDescent="0.3">
      <c r="B12" s="65" t="s">
        <v>367</v>
      </c>
      <c r="C12" s="66" t="s">
        <v>0</v>
      </c>
      <c r="D12" s="66" t="s">
        <v>1</v>
      </c>
      <c r="E12" s="67" t="s">
        <v>2</v>
      </c>
      <c r="F12" s="68" t="s">
        <v>3</v>
      </c>
      <c r="G12" s="66" t="s">
        <v>4</v>
      </c>
      <c r="H12" s="66" t="s">
        <v>5</v>
      </c>
      <c r="I12" s="67" t="s">
        <v>6</v>
      </c>
      <c r="J12" s="66" t="s">
        <v>7</v>
      </c>
      <c r="K12" s="69" t="s">
        <v>626</v>
      </c>
      <c r="S12" t="str">
        <v>Ingegnere del firmware</v>
      </c>
      <c r="T12">
        <v>16</v>
      </c>
      <c r="U12" t="str">
        <v>Ingegnere del software front-end</v>
      </c>
      <c r="V12">
        <v>13</v>
      </c>
    </row>
    <row r="13" spans="2:22" ht="23.25" x14ac:dyDescent="0.35">
      <c r="B13" s="79" t="str" cm="1">
        <f t="array" ref="B13:J13">_xlfn._xlws.FILTER(Candidati[],Candidati[Data di nascita]=MAX(Candidati[Data di nascita]))</f>
        <v>CD-230</v>
      </c>
      <c r="C13" s="79" t="str">
        <v>Alice</v>
      </c>
      <c r="D13" s="79" t="str">
        <v>Ricci</v>
      </c>
      <c r="E13" s="80">
        <v>38320</v>
      </c>
      <c r="F13" s="79" t="str">
        <v>F</v>
      </c>
      <c r="G13" s="79" t="str">
        <v>ALIRIC04F358</v>
      </c>
      <c r="H13" s="79" t="str">
        <v>Amministratore di sistema</v>
      </c>
      <c r="I13" s="80">
        <v>45234</v>
      </c>
      <c r="J13" s="79" t="str">
        <v>Specialista di reti neurali</v>
      </c>
      <c r="K13" s="81">
        <f ca="1">_xlfn.DAYS(TODAY(),E13)/365</f>
        <v>19.073972602739726</v>
      </c>
      <c r="S13" t="str">
        <v>Ingegnere del software mobile</v>
      </c>
      <c r="T13">
        <v>18</v>
      </c>
      <c r="U13" t="str">
        <v>Specialista di reti neurali</v>
      </c>
      <c r="V13">
        <v>6</v>
      </c>
    </row>
    <row r="14" spans="2:22" x14ac:dyDescent="0.25">
      <c r="S14" t="str">
        <v>Ingegnere dei sistemi embedded</v>
      </c>
      <c r="T14">
        <v>23</v>
      </c>
      <c r="U14" t="str">
        <v>Ingegnere del software mobile</v>
      </c>
      <c r="V14">
        <v>16</v>
      </c>
    </row>
    <row r="15" spans="2:22" ht="15.75" thickBot="1" x14ac:dyDescent="0.3">
      <c r="S15" t="str">
        <v>Web developer</v>
      </c>
      <c r="T15">
        <v>6</v>
      </c>
      <c r="U15" t="str">
        <v>Analista di business intelligence</v>
      </c>
      <c r="V15">
        <v>14</v>
      </c>
    </row>
    <row r="16" spans="2:22" ht="31.5" x14ac:dyDescent="0.25">
      <c r="B16" s="62" t="s">
        <v>624</v>
      </c>
      <c r="C16" s="63"/>
      <c r="D16" s="63"/>
      <c r="E16" s="63"/>
      <c r="F16" s="63"/>
      <c r="G16" s="63"/>
      <c r="H16" s="63"/>
      <c r="I16" s="63"/>
      <c r="J16" s="64"/>
      <c r="S16" t="str">
        <v>Sviluppatore software</v>
      </c>
      <c r="T16">
        <v>8</v>
      </c>
      <c r="U16" t="str">
        <v>Specialista di machine learning</v>
      </c>
      <c r="V16">
        <v>14</v>
      </c>
    </row>
    <row r="17" spans="2:22" ht="15.75" thickBot="1" x14ac:dyDescent="0.3">
      <c r="B17" s="65" t="s">
        <v>367</v>
      </c>
      <c r="C17" s="66" t="s">
        <v>0</v>
      </c>
      <c r="D17" s="66" t="s">
        <v>1</v>
      </c>
      <c r="E17" s="67" t="s">
        <v>2</v>
      </c>
      <c r="F17" s="68" t="s">
        <v>3</v>
      </c>
      <c r="G17" s="66" t="s">
        <v>4</v>
      </c>
      <c r="H17" s="66" t="s">
        <v>5</v>
      </c>
      <c r="I17" s="67" t="s">
        <v>6</v>
      </c>
      <c r="J17" s="69" t="s">
        <v>7</v>
      </c>
      <c r="S17" t="str">
        <v>Analista di sicurezza informatica</v>
      </c>
      <c r="T17">
        <v>5</v>
      </c>
      <c r="U17" t="str">
        <v>Sviluppatore software</v>
      </c>
      <c r="V17">
        <v>8</v>
      </c>
    </row>
    <row r="18" spans="2:22" ht="23.25" x14ac:dyDescent="0.25">
      <c r="B18" s="79" t="str" cm="1">
        <f t="array" ref="B18:J18">_xlfn._xlws.FILTER(Candidati[],Candidati[Data candidatura]=MIN(Candidati[Data candidatura]))</f>
        <v>CD-134</v>
      </c>
      <c r="C18" s="79" t="str">
        <v>Lara</v>
      </c>
      <c r="D18" s="79" t="str">
        <v>Rinaldi</v>
      </c>
      <c r="E18" s="80">
        <v>35748</v>
      </c>
      <c r="F18" s="79" t="str">
        <v>F</v>
      </c>
      <c r="G18" s="79" t="str">
        <v>LARRIN97F278</v>
      </c>
      <c r="H18" s="79" t="str">
        <v>Esperto di DevOps</v>
      </c>
      <c r="I18" s="80">
        <v>43831</v>
      </c>
      <c r="J18" s="79" t="str">
        <v>Analista QA (Quality Assurance)</v>
      </c>
      <c r="S18" t="str">
        <v>Ingegnere del software back-end</v>
      </c>
      <c r="T18">
        <v>13</v>
      </c>
      <c r="U18" t="str">
        <v>Project manager IT</v>
      </c>
      <c r="V18">
        <v>6</v>
      </c>
    </row>
    <row r="19" spans="2:22" x14ac:dyDescent="0.25">
      <c r="S19" t="str">
        <v>Project manager IT</v>
      </c>
      <c r="T19">
        <v>9</v>
      </c>
      <c r="U19" t="str">
        <v>Analista QA (Quality Assurance)</v>
      </c>
      <c r="V19">
        <v>20</v>
      </c>
    </row>
    <row r="20" spans="2:22" x14ac:dyDescent="0.25">
      <c r="S20" t="str">
        <v>Ingegnere del software front-end</v>
      </c>
      <c r="T20">
        <v>6</v>
      </c>
      <c r="U20" t="str">
        <v>Esperto di intelligenza artificiale</v>
      </c>
      <c r="V20">
        <v>6</v>
      </c>
    </row>
    <row r="21" spans="2:22" x14ac:dyDescent="0.25">
      <c r="S21" t="str">
        <v>Ingegnere di rete</v>
      </c>
      <c r="T21">
        <v>5</v>
      </c>
      <c r="U21" t="str">
        <v>Data scientist</v>
      </c>
      <c r="V21">
        <v>9</v>
      </c>
    </row>
    <row r="22" spans="2:22" ht="15.75" thickBot="1" x14ac:dyDescent="0.3">
      <c r="S22" t="str">
        <v>Amministratore di sistema</v>
      </c>
      <c r="T22">
        <v>7</v>
      </c>
      <c r="U22" t="str">
        <v>Ingegnere dei sistemi embedded</v>
      </c>
      <c r="V22">
        <v>9</v>
      </c>
    </row>
    <row r="23" spans="2:22" ht="23.25" x14ac:dyDescent="0.25">
      <c r="B23" s="60" t="s">
        <v>623</v>
      </c>
      <c r="C23" s="61"/>
      <c r="E23" s="60" t="s">
        <v>631</v>
      </c>
      <c r="F23" s="61"/>
      <c r="H23" s="73" t="s">
        <v>630</v>
      </c>
      <c r="I23" s="74"/>
      <c r="K23" s="73" t="s">
        <v>3</v>
      </c>
      <c r="L23" s="74"/>
      <c r="S23" t="str">
        <v>Analista di business intelligence</v>
      </c>
      <c r="T23">
        <v>10</v>
      </c>
      <c r="U23" t="str">
        <v>Analista dati</v>
      </c>
      <c r="V23">
        <v>11</v>
      </c>
    </row>
    <row r="24" spans="2:22" ht="19.5" thickBot="1" x14ac:dyDescent="0.35">
      <c r="B24" s="70" t="s">
        <v>622</v>
      </c>
      <c r="C24" s="72" t="s">
        <v>621</v>
      </c>
      <c r="E24" s="70" t="s">
        <v>622</v>
      </c>
      <c r="F24" s="71" t="s">
        <v>632</v>
      </c>
      <c r="H24" s="92">
        <v>26.821172602739725</v>
      </c>
      <c r="I24" s="93"/>
      <c r="K24" s="89" t="s">
        <v>628</v>
      </c>
      <c r="L24" s="90" t="s">
        <v>629</v>
      </c>
      <c r="S24" t="str">
        <v>Analista dati</v>
      </c>
      <c r="T24">
        <v>9</v>
      </c>
      <c r="U24" t="str">
        <v>Ingegnere del software</v>
      </c>
      <c r="V24">
        <v>9</v>
      </c>
    </row>
    <row r="25" spans="2:22" ht="19.5" thickBot="1" x14ac:dyDescent="0.3">
      <c r="B25" s="82" t="str">
        <f>INDEX(S:S, MATCH(MAX(T:T), T:T, 0))</f>
        <v>Ingegnere dei sistemi embedded</v>
      </c>
      <c r="C25" s="83">
        <f>MAX(T:T)</f>
        <v>23</v>
      </c>
      <c r="E25" s="82" t="str">
        <f>INDEX(U:U, MATCH(MAX(V:V), V:V, 0))</f>
        <v>Analista QA (Quality Assurance)</v>
      </c>
      <c r="F25" s="85">
        <f>MAX(V:V)</f>
        <v>20</v>
      </c>
      <c r="K25" s="91">
        <f>COUNTIFS(Candidati[Genere],"M")</f>
        <v>128</v>
      </c>
      <c r="L25" s="84">
        <f>COUNTIFS(Candidati[Genere],"F")</f>
        <v>122</v>
      </c>
    </row>
    <row r="26" spans="2:22" ht="15.75" thickBot="1" x14ac:dyDescent="0.3">
      <c r="B26" s="16"/>
    </row>
    <row r="27" spans="2:22" ht="24" thickBot="1" x14ac:dyDescent="0.3">
      <c r="B27" s="75" t="s">
        <v>633</v>
      </c>
      <c r="C27" s="76"/>
      <c r="E27" s="75" t="s">
        <v>633</v>
      </c>
      <c r="F27" s="76"/>
    </row>
    <row r="28" spans="2:22" ht="13.5" customHeight="1" x14ac:dyDescent="0.25">
      <c r="B28" s="86" t="str" cm="1">
        <f t="array" ref="B28:B51">_xlfn._xlws.SORT(_xlfn.UNIQUE(Candidati[Posizione ricercata]))</f>
        <v>Amministratore del database</v>
      </c>
      <c r="C28" s="78" cm="1">
        <f t="array" ref="C28:C51">COUNTIFS(Candidati[Posizione ricercata],_xlfn._xlws.SORT(_xlfn.UNIQUE(Candidati[Posizione ricercata])))</f>
        <v>15</v>
      </c>
      <c r="E28" s="86" t="str" cm="1">
        <f t="array" ref="E28:E51">_xlfn._xlws.SORT(_xlfn.UNIQUE(Candidati[Posizione precedente]))</f>
        <v>Amministratore del database</v>
      </c>
      <c r="F28" s="87" cm="1">
        <f t="array" ref="F28:F51">COUNTIFS(Candidati[Posizione precedente],_xlfn._xlws.SORT(_xlfn.UNIQUE(Candidati[Posizione precedente])))</f>
        <v>11</v>
      </c>
    </row>
    <row r="29" spans="2:22" ht="15.75" x14ac:dyDescent="0.25">
      <c r="B29" s="86" t="str">
        <v>Amministratore di sistema</v>
      </c>
      <c r="C29" s="78">
        <v>7</v>
      </c>
      <c r="E29" s="88" t="str">
        <v>Amministratore di sistema</v>
      </c>
      <c r="F29" s="87">
        <v>10</v>
      </c>
    </row>
    <row r="30" spans="2:22" ht="15.75" x14ac:dyDescent="0.25">
      <c r="B30" s="86" t="str">
        <v>Analista dati</v>
      </c>
      <c r="C30" s="78">
        <v>9</v>
      </c>
      <c r="E30" s="88" t="str">
        <v>Analista dati</v>
      </c>
      <c r="F30" s="87">
        <v>11</v>
      </c>
    </row>
    <row r="31" spans="2:22" ht="15.75" x14ac:dyDescent="0.25">
      <c r="B31" s="86" t="str">
        <v>Analista di business intelligence</v>
      </c>
      <c r="C31" s="78">
        <v>10</v>
      </c>
      <c r="E31" s="88" t="str">
        <v>Analista di business intelligence</v>
      </c>
      <c r="F31" s="87">
        <v>14</v>
      </c>
    </row>
    <row r="32" spans="2:22" ht="15.75" x14ac:dyDescent="0.25">
      <c r="B32" s="86" t="str">
        <v>Analista di sicurezza informatica</v>
      </c>
      <c r="C32" s="78">
        <v>5</v>
      </c>
      <c r="E32" s="88" t="str">
        <v>Analista di sicurezza informatica</v>
      </c>
      <c r="F32" s="87">
        <v>9</v>
      </c>
    </row>
    <row r="33" spans="2:6" ht="15.75" x14ac:dyDescent="0.25">
      <c r="B33" s="86" t="str">
        <v>Analista QA (Quality Assurance)</v>
      </c>
      <c r="C33" s="78">
        <v>11</v>
      </c>
      <c r="E33" s="88" t="str">
        <v>Analista QA (Quality Assurance)</v>
      </c>
      <c r="F33" s="87">
        <v>20</v>
      </c>
    </row>
    <row r="34" spans="2:6" ht="15.75" x14ac:dyDescent="0.25">
      <c r="B34" s="86" t="str">
        <v>Architetto software</v>
      </c>
      <c r="C34" s="78">
        <v>10</v>
      </c>
      <c r="E34" s="88" t="str">
        <v>Architetto software</v>
      </c>
      <c r="F34" s="87">
        <v>12</v>
      </c>
    </row>
    <row r="35" spans="2:6" ht="15.75" x14ac:dyDescent="0.25">
      <c r="B35" s="86" t="str">
        <v>Data scientist</v>
      </c>
      <c r="C35" s="78">
        <v>10</v>
      </c>
      <c r="E35" s="88" t="str">
        <v>Data scientist</v>
      </c>
      <c r="F35" s="87">
        <v>9</v>
      </c>
    </row>
    <row r="36" spans="2:6" ht="15.75" x14ac:dyDescent="0.25">
      <c r="B36" s="86" t="str">
        <v>Esperto di DevOps</v>
      </c>
      <c r="C36" s="78">
        <v>5</v>
      </c>
      <c r="E36" s="88" t="str">
        <v>Esperto di DevOps</v>
      </c>
      <c r="F36" s="87">
        <v>7</v>
      </c>
    </row>
    <row r="37" spans="2:6" ht="15.75" x14ac:dyDescent="0.25">
      <c r="B37" s="86" t="str">
        <v>Esperto di intelligenza artificiale</v>
      </c>
      <c r="C37" s="78">
        <v>10</v>
      </c>
      <c r="E37" s="88" t="str">
        <v>Esperto di intelligenza artificiale</v>
      </c>
      <c r="F37" s="87">
        <v>6</v>
      </c>
    </row>
    <row r="38" spans="2:6" ht="15.75" x14ac:dyDescent="0.25">
      <c r="B38" s="86" t="str">
        <v>Esperto di sicurezza informatica</v>
      </c>
      <c r="C38" s="78">
        <v>8</v>
      </c>
      <c r="E38" s="88" t="str">
        <v>Esperto di sicurezza informatica</v>
      </c>
      <c r="F38" s="87">
        <v>10</v>
      </c>
    </row>
    <row r="39" spans="2:6" ht="15.75" x14ac:dyDescent="0.25">
      <c r="B39" s="86" t="str">
        <v>Ingegnere dei sistemi embedded</v>
      </c>
      <c r="C39" s="78">
        <v>23</v>
      </c>
      <c r="E39" s="88" t="str">
        <v>Ingegnere dei sistemi embedded</v>
      </c>
      <c r="F39" s="87">
        <v>9</v>
      </c>
    </row>
    <row r="40" spans="2:6" ht="15.75" x14ac:dyDescent="0.25">
      <c r="B40" s="86" t="str">
        <v>Ingegnere del firmware</v>
      </c>
      <c r="C40" s="78">
        <v>16</v>
      </c>
      <c r="E40" s="88" t="str">
        <v>Ingegnere del firmware</v>
      </c>
      <c r="F40" s="87">
        <v>7</v>
      </c>
    </row>
    <row r="41" spans="2:6" ht="15.75" x14ac:dyDescent="0.25">
      <c r="B41" s="86" t="str">
        <v>Ingegnere del software</v>
      </c>
      <c r="C41" s="78">
        <v>8</v>
      </c>
      <c r="E41" s="88" t="str">
        <v>Ingegnere del software</v>
      </c>
      <c r="F41" s="87">
        <v>9</v>
      </c>
    </row>
    <row r="42" spans="2:6" ht="15.75" x14ac:dyDescent="0.25">
      <c r="B42" s="86" t="str">
        <v>Ingegnere del software back-end</v>
      </c>
      <c r="C42" s="78">
        <v>13</v>
      </c>
      <c r="E42" s="88" t="str">
        <v>Ingegnere del software back-end</v>
      </c>
      <c r="F42" s="87">
        <v>12</v>
      </c>
    </row>
    <row r="43" spans="2:6" ht="15.75" x14ac:dyDescent="0.25">
      <c r="B43" s="86" t="str">
        <v>Ingegnere del software embedded</v>
      </c>
      <c r="C43" s="78">
        <v>12</v>
      </c>
      <c r="E43" s="88" t="str">
        <v>Ingegnere del software embedded</v>
      </c>
      <c r="F43" s="87">
        <v>6</v>
      </c>
    </row>
    <row r="44" spans="2:6" ht="15.75" x14ac:dyDescent="0.25">
      <c r="B44" s="86" t="str">
        <v>Ingegnere del software front-end</v>
      </c>
      <c r="C44" s="78">
        <v>6</v>
      </c>
      <c r="E44" s="88" t="str">
        <v>Ingegnere del software front-end</v>
      </c>
      <c r="F44" s="87">
        <v>13</v>
      </c>
    </row>
    <row r="45" spans="2:6" ht="15.75" x14ac:dyDescent="0.25">
      <c r="B45" s="86" t="str">
        <v>Ingegnere del software mobile</v>
      </c>
      <c r="C45" s="78">
        <v>18</v>
      </c>
      <c r="E45" s="88" t="str">
        <v>Ingegnere del software mobile</v>
      </c>
      <c r="F45" s="87">
        <v>16</v>
      </c>
    </row>
    <row r="46" spans="2:6" ht="15.75" x14ac:dyDescent="0.25">
      <c r="B46" s="86" t="str">
        <v>Ingegnere di rete</v>
      </c>
      <c r="C46" s="78">
        <v>5</v>
      </c>
      <c r="E46" s="88" t="str">
        <v>Ingegnere di rete</v>
      </c>
      <c r="F46" s="87">
        <v>15</v>
      </c>
    </row>
    <row r="47" spans="2:6" ht="15.75" x14ac:dyDescent="0.25">
      <c r="B47" s="86" t="str">
        <v>Project manager IT</v>
      </c>
      <c r="C47" s="78">
        <v>9</v>
      </c>
      <c r="E47" s="88" t="str">
        <v>Project manager IT</v>
      </c>
      <c r="F47" s="87">
        <v>6</v>
      </c>
    </row>
    <row r="48" spans="2:6" ht="15.75" x14ac:dyDescent="0.25">
      <c r="B48" s="86" t="str">
        <v>Specialista di machine learning</v>
      </c>
      <c r="C48" s="78">
        <v>15</v>
      </c>
      <c r="E48" s="88" t="str">
        <v>Specialista di machine learning</v>
      </c>
      <c r="F48" s="87">
        <v>14</v>
      </c>
    </row>
    <row r="49" spans="2:6" ht="15.75" x14ac:dyDescent="0.25">
      <c r="B49" s="86" t="str">
        <v>Specialista di reti neurali</v>
      </c>
      <c r="C49" s="78">
        <v>11</v>
      </c>
      <c r="E49" s="88" t="str">
        <v>Specialista di reti neurali</v>
      </c>
      <c r="F49" s="87">
        <v>6</v>
      </c>
    </row>
    <row r="50" spans="2:6" ht="15.75" x14ac:dyDescent="0.25">
      <c r="B50" s="86" t="str">
        <v>Sviluppatore software</v>
      </c>
      <c r="C50" s="78">
        <v>8</v>
      </c>
      <c r="E50" s="88" t="str">
        <v>Sviluppatore software</v>
      </c>
      <c r="F50" s="87">
        <v>8</v>
      </c>
    </row>
    <row r="51" spans="2:6" ht="15.75" x14ac:dyDescent="0.25">
      <c r="B51" s="86" t="str">
        <v>Web developer</v>
      </c>
      <c r="C51" s="78">
        <v>6</v>
      </c>
      <c r="E51" s="88" t="str">
        <v>Web developer</v>
      </c>
      <c r="F51" s="87">
        <v>10</v>
      </c>
    </row>
  </sheetData>
  <mergeCells count="10">
    <mergeCell ref="E23:F23"/>
    <mergeCell ref="H24:I24"/>
    <mergeCell ref="K23:L23"/>
    <mergeCell ref="B27:C27"/>
    <mergeCell ref="E27:F27"/>
    <mergeCell ref="H23:I23"/>
    <mergeCell ref="B23:C23"/>
    <mergeCell ref="B16:J16"/>
    <mergeCell ref="B7:K7"/>
    <mergeCell ref="B11:K11"/>
  </mergeCells>
  <conditionalFormatting sqref="C28:C25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{0FDBAA94-8B47-4417-A411-9F0598CAD64A}</x14:id>
        </ext>
      </extLst>
    </cfRule>
  </conditionalFormatting>
  <conditionalFormatting sqref="F28:F11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{C24D715A-1F41-4D86-9975-DFB4E5D92F2C}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DBAA94-8B47-4417-A411-9F0598CAD6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C28:C259</xm:sqref>
        </x14:conditionalFormatting>
        <x14:conditionalFormatting xmlns:xm="http://schemas.microsoft.com/office/excel/2006/main">
          <x14:cfRule type="dataBar" id="{C24D715A-1F41-4D86-9975-DFB4E5D92F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F28:F112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FD82-740C-4433-86AC-F37D13BACC91}">
  <sheetPr codeName="Foglio2">
    <tabColor theme="9" tint="0.79998168889431442"/>
  </sheetPr>
  <dimension ref="A1:I251"/>
  <sheetViews>
    <sheetView topLeftCell="A189" workbookViewId="0">
      <selection activeCell="B252" sqref="B252:I252"/>
    </sheetView>
  </sheetViews>
  <sheetFormatPr defaultRowHeight="15" x14ac:dyDescent="0.25"/>
  <cols>
    <col min="1" max="1" width="14.5703125" bestFit="1" customWidth="1"/>
    <col min="2" max="2" width="10.85546875" bestFit="1" customWidth="1"/>
    <col min="3" max="3" width="11.7109375" bestFit="1" customWidth="1"/>
    <col min="4" max="4" width="16.140625" bestFit="1" customWidth="1"/>
    <col min="5" max="5" width="10" bestFit="1" customWidth="1"/>
    <col min="6" max="6" width="16.28515625" bestFit="1" customWidth="1"/>
    <col min="7" max="7" width="32.42578125" bestFit="1" customWidth="1"/>
    <col min="8" max="8" width="18.28515625" bestFit="1" customWidth="1"/>
    <col min="9" max="9" width="32.42578125" bestFit="1" customWidth="1"/>
  </cols>
  <sheetData>
    <row r="1" spans="1:9" x14ac:dyDescent="0.25">
      <c r="A1" t="s">
        <v>367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25">
      <c r="A2" s="14" t="s">
        <v>368</v>
      </c>
      <c r="B2" s="14" t="s">
        <v>8</v>
      </c>
      <c r="C2" s="14" t="s">
        <v>9</v>
      </c>
      <c r="D2" s="1">
        <v>37708</v>
      </c>
      <c r="E2" s="14" t="s">
        <v>10</v>
      </c>
      <c r="F2" s="14" t="s">
        <v>11</v>
      </c>
      <c r="G2" s="14" t="s">
        <v>12</v>
      </c>
      <c r="H2" s="1">
        <v>44696</v>
      </c>
      <c r="I2" s="14" t="s">
        <v>13</v>
      </c>
    </row>
    <row r="3" spans="1:9" x14ac:dyDescent="0.25">
      <c r="A3" s="14" t="s">
        <v>369</v>
      </c>
      <c r="B3" s="14" t="s">
        <v>14</v>
      </c>
      <c r="C3" s="14" t="s">
        <v>15</v>
      </c>
      <c r="D3" s="1">
        <v>37598</v>
      </c>
      <c r="E3" s="14" t="s">
        <v>10</v>
      </c>
      <c r="F3" s="14" t="s">
        <v>16</v>
      </c>
      <c r="G3" s="14" t="s">
        <v>17</v>
      </c>
      <c r="H3" s="1">
        <v>45275</v>
      </c>
      <c r="I3" s="14" t="s">
        <v>18</v>
      </c>
    </row>
    <row r="4" spans="1:9" x14ac:dyDescent="0.25">
      <c r="A4" s="14" t="s">
        <v>370</v>
      </c>
      <c r="B4" s="14" t="s">
        <v>19</v>
      </c>
      <c r="C4" s="14" t="s">
        <v>20</v>
      </c>
      <c r="D4" s="1">
        <v>33918</v>
      </c>
      <c r="E4" s="14" t="s">
        <v>10</v>
      </c>
      <c r="F4" s="14" t="s">
        <v>21</v>
      </c>
      <c r="G4" s="14" t="s">
        <v>17</v>
      </c>
      <c r="H4" s="1">
        <v>44466</v>
      </c>
      <c r="I4" s="14" t="s">
        <v>22</v>
      </c>
    </row>
    <row r="5" spans="1:9" x14ac:dyDescent="0.25">
      <c r="A5" s="14" t="s">
        <v>371</v>
      </c>
      <c r="B5" s="14" t="s">
        <v>23</v>
      </c>
      <c r="C5" s="14" t="s">
        <v>24</v>
      </c>
      <c r="D5" s="1">
        <v>33033</v>
      </c>
      <c r="E5" s="14" t="s">
        <v>10</v>
      </c>
      <c r="F5" s="14" t="s">
        <v>25</v>
      </c>
      <c r="G5" s="14" t="s">
        <v>26</v>
      </c>
      <c r="H5" s="1">
        <v>44491</v>
      </c>
      <c r="I5" s="14" t="s">
        <v>27</v>
      </c>
    </row>
    <row r="6" spans="1:9" x14ac:dyDescent="0.25">
      <c r="A6" s="14" t="s">
        <v>372</v>
      </c>
      <c r="B6" s="14" t="s">
        <v>28</v>
      </c>
      <c r="C6" s="14" t="s">
        <v>29</v>
      </c>
      <c r="D6" s="1">
        <v>37779</v>
      </c>
      <c r="E6" s="14" t="s">
        <v>30</v>
      </c>
      <c r="F6" s="14" t="s">
        <v>31</v>
      </c>
      <c r="G6" s="14" t="s">
        <v>26</v>
      </c>
      <c r="H6" s="1">
        <v>45274</v>
      </c>
      <c r="I6" s="14" t="s">
        <v>32</v>
      </c>
    </row>
    <row r="7" spans="1:9" x14ac:dyDescent="0.25">
      <c r="A7" s="14" t="s">
        <v>373</v>
      </c>
      <c r="B7" s="14" t="s">
        <v>33</v>
      </c>
      <c r="C7" s="14" t="s">
        <v>24</v>
      </c>
      <c r="D7" s="1">
        <v>37568</v>
      </c>
      <c r="E7" s="14" t="s">
        <v>30</v>
      </c>
      <c r="F7" s="14" t="s">
        <v>34</v>
      </c>
      <c r="G7" s="14" t="s">
        <v>18</v>
      </c>
      <c r="H7" s="1">
        <v>43885</v>
      </c>
      <c r="I7" s="14" t="s">
        <v>22</v>
      </c>
    </row>
    <row r="8" spans="1:9" x14ac:dyDescent="0.25">
      <c r="A8" s="14" t="s">
        <v>374</v>
      </c>
      <c r="B8" s="14" t="s">
        <v>35</v>
      </c>
      <c r="C8" s="14" t="s">
        <v>36</v>
      </c>
      <c r="D8" s="1">
        <v>36418</v>
      </c>
      <c r="E8" s="14" t="s">
        <v>10</v>
      </c>
      <c r="F8" s="14" t="s">
        <v>37</v>
      </c>
      <c r="G8" s="14" t="s">
        <v>38</v>
      </c>
      <c r="H8" s="1">
        <v>44966</v>
      </c>
      <c r="I8" s="14" t="s">
        <v>18</v>
      </c>
    </row>
    <row r="9" spans="1:9" x14ac:dyDescent="0.25">
      <c r="A9" s="14" t="s">
        <v>375</v>
      </c>
      <c r="B9" s="14" t="s">
        <v>39</v>
      </c>
      <c r="C9" s="14" t="s">
        <v>40</v>
      </c>
      <c r="D9" s="1">
        <v>38229</v>
      </c>
      <c r="E9" s="14" t="s">
        <v>30</v>
      </c>
      <c r="F9" s="14" t="s">
        <v>41</v>
      </c>
      <c r="G9" s="14" t="s">
        <v>27</v>
      </c>
      <c r="H9" s="1">
        <v>45099</v>
      </c>
      <c r="I9" s="14" t="s">
        <v>42</v>
      </c>
    </row>
    <row r="10" spans="1:9" x14ac:dyDescent="0.25">
      <c r="A10" s="14" t="s">
        <v>376</v>
      </c>
      <c r="B10" s="14" t="s">
        <v>43</v>
      </c>
      <c r="C10" s="14" t="s">
        <v>44</v>
      </c>
      <c r="D10" s="1">
        <v>35475</v>
      </c>
      <c r="E10" s="14" t="s">
        <v>10</v>
      </c>
      <c r="F10" s="14" t="s">
        <v>45</v>
      </c>
      <c r="G10" s="14" t="s">
        <v>46</v>
      </c>
      <c r="H10" s="1">
        <v>45004</v>
      </c>
      <c r="I10" s="14" t="s">
        <v>47</v>
      </c>
    </row>
    <row r="11" spans="1:9" x14ac:dyDescent="0.25">
      <c r="A11" s="14" t="s">
        <v>377</v>
      </c>
      <c r="B11" s="14" t="s">
        <v>48</v>
      </c>
      <c r="C11" s="14" t="s">
        <v>49</v>
      </c>
      <c r="D11" s="1">
        <v>33020</v>
      </c>
      <c r="E11" s="14" t="s">
        <v>10</v>
      </c>
      <c r="F11" s="14" t="s">
        <v>50</v>
      </c>
      <c r="G11" s="14" t="s">
        <v>51</v>
      </c>
      <c r="H11" s="1">
        <v>45035</v>
      </c>
      <c r="I11" s="14" t="s">
        <v>12</v>
      </c>
    </row>
    <row r="12" spans="1:9" x14ac:dyDescent="0.25">
      <c r="A12" s="14" t="s">
        <v>378</v>
      </c>
      <c r="B12" s="14" t="s">
        <v>52</v>
      </c>
      <c r="C12" s="14" t="s">
        <v>53</v>
      </c>
      <c r="D12" s="1">
        <v>33762</v>
      </c>
      <c r="E12" s="14" t="s">
        <v>10</v>
      </c>
      <c r="F12" s="14" t="s">
        <v>54</v>
      </c>
      <c r="G12" s="14" t="s">
        <v>42</v>
      </c>
      <c r="H12" s="1">
        <v>44287</v>
      </c>
      <c r="I12" s="14" t="s">
        <v>38</v>
      </c>
    </row>
    <row r="13" spans="1:9" x14ac:dyDescent="0.25">
      <c r="A13" s="14" t="s">
        <v>379</v>
      </c>
      <c r="B13" s="14" t="s">
        <v>55</v>
      </c>
      <c r="C13" s="14" t="s">
        <v>20</v>
      </c>
      <c r="D13" s="1">
        <v>35696</v>
      </c>
      <c r="E13" s="14" t="s">
        <v>10</v>
      </c>
      <c r="F13" s="14" t="s">
        <v>56</v>
      </c>
      <c r="G13" s="14" t="s">
        <v>18</v>
      </c>
      <c r="H13" s="1">
        <v>44844</v>
      </c>
      <c r="I13" s="14" t="s">
        <v>57</v>
      </c>
    </row>
    <row r="14" spans="1:9" x14ac:dyDescent="0.25">
      <c r="A14" s="14" t="s">
        <v>380</v>
      </c>
      <c r="B14" s="14" t="s">
        <v>58</v>
      </c>
      <c r="C14" s="14" t="s">
        <v>59</v>
      </c>
      <c r="D14" s="1">
        <v>36068</v>
      </c>
      <c r="E14" s="14" t="s">
        <v>30</v>
      </c>
      <c r="F14" s="14" t="s">
        <v>60</v>
      </c>
      <c r="G14" s="14" t="s">
        <v>61</v>
      </c>
      <c r="H14" s="1">
        <v>44085</v>
      </c>
      <c r="I14" s="14" t="s">
        <v>47</v>
      </c>
    </row>
    <row r="15" spans="1:9" x14ac:dyDescent="0.25">
      <c r="A15" s="14" t="s">
        <v>381</v>
      </c>
      <c r="B15" s="14" t="s">
        <v>62</v>
      </c>
      <c r="C15" s="14" t="s">
        <v>63</v>
      </c>
      <c r="D15" s="1">
        <v>35411</v>
      </c>
      <c r="E15" s="14" t="s">
        <v>10</v>
      </c>
      <c r="F15" s="14" t="s">
        <v>64</v>
      </c>
      <c r="G15" s="14" t="s">
        <v>65</v>
      </c>
      <c r="H15" s="1">
        <v>43894</v>
      </c>
      <c r="I15" s="14" t="s">
        <v>47</v>
      </c>
    </row>
    <row r="16" spans="1:9" x14ac:dyDescent="0.25">
      <c r="A16" s="14" t="s">
        <v>382</v>
      </c>
      <c r="B16" s="14" t="s">
        <v>8</v>
      </c>
      <c r="C16" s="14" t="s">
        <v>66</v>
      </c>
      <c r="D16" s="1">
        <v>35760</v>
      </c>
      <c r="E16" s="14" t="s">
        <v>10</v>
      </c>
      <c r="F16" s="14" t="s">
        <v>67</v>
      </c>
      <c r="G16" s="14" t="s">
        <v>68</v>
      </c>
      <c r="H16" s="1">
        <v>44634</v>
      </c>
      <c r="I16" s="14" t="s">
        <v>38</v>
      </c>
    </row>
    <row r="17" spans="1:9" x14ac:dyDescent="0.25">
      <c r="A17" s="14" t="s">
        <v>383</v>
      </c>
      <c r="B17" s="14" t="s">
        <v>69</v>
      </c>
      <c r="C17" s="14" t="s">
        <v>44</v>
      </c>
      <c r="D17" s="1">
        <v>37597</v>
      </c>
      <c r="E17" s="14" t="s">
        <v>30</v>
      </c>
      <c r="F17" s="14" t="s">
        <v>70</v>
      </c>
      <c r="G17" s="14" t="s">
        <v>32</v>
      </c>
      <c r="H17" s="1">
        <v>44557</v>
      </c>
      <c r="I17" s="14" t="s">
        <v>22</v>
      </c>
    </row>
    <row r="18" spans="1:9" x14ac:dyDescent="0.25">
      <c r="A18" s="14" t="s">
        <v>384</v>
      </c>
      <c r="B18" s="14" t="s">
        <v>52</v>
      </c>
      <c r="C18" s="14" t="s">
        <v>71</v>
      </c>
      <c r="D18" s="1">
        <v>37026</v>
      </c>
      <c r="E18" s="14" t="s">
        <v>10</v>
      </c>
      <c r="F18" s="14" t="s">
        <v>72</v>
      </c>
      <c r="G18" s="14" t="s">
        <v>73</v>
      </c>
      <c r="H18" s="1">
        <v>44780</v>
      </c>
      <c r="I18" s="14" t="s">
        <v>47</v>
      </c>
    </row>
    <row r="19" spans="1:9" x14ac:dyDescent="0.25">
      <c r="A19" s="14" t="s">
        <v>385</v>
      </c>
      <c r="B19" s="14" t="s">
        <v>74</v>
      </c>
      <c r="C19" s="14" t="s">
        <v>75</v>
      </c>
      <c r="D19" s="1">
        <v>34282</v>
      </c>
      <c r="E19" s="14" t="s">
        <v>30</v>
      </c>
      <c r="F19" s="14" t="s">
        <v>76</v>
      </c>
      <c r="G19" s="14" t="s">
        <v>77</v>
      </c>
      <c r="H19" s="1">
        <v>44983</v>
      </c>
      <c r="I19" s="14" t="s">
        <v>78</v>
      </c>
    </row>
    <row r="20" spans="1:9" x14ac:dyDescent="0.25">
      <c r="A20" s="14" t="s">
        <v>386</v>
      </c>
      <c r="B20" s="14" t="s">
        <v>79</v>
      </c>
      <c r="C20" s="14" t="s">
        <v>20</v>
      </c>
      <c r="D20" s="1">
        <v>34440</v>
      </c>
      <c r="E20" s="14" t="s">
        <v>30</v>
      </c>
      <c r="F20" s="14" t="s">
        <v>80</v>
      </c>
      <c r="G20" s="14" t="s">
        <v>32</v>
      </c>
      <c r="H20" s="1">
        <v>44475</v>
      </c>
      <c r="I20" s="14" t="s">
        <v>22</v>
      </c>
    </row>
    <row r="21" spans="1:9" x14ac:dyDescent="0.25">
      <c r="A21" s="14" t="s">
        <v>387</v>
      </c>
      <c r="B21" s="14" t="s">
        <v>81</v>
      </c>
      <c r="C21" s="14" t="s">
        <v>82</v>
      </c>
      <c r="D21" s="1">
        <v>34105</v>
      </c>
      <c r="E21" s="14" t="s">
        <v>10</v>
      </c>
      <c r="F21" s="14" t="s">
        <v>83</v>
      </c>
      <c r="G21" s="14" t="s">
        <v>26</v>
      </c>
      <c r="H21" s="1">
        <v>44575</v>
      </c>
      <c r="I21" s="14" t="s">
        <v>51</v>
      </c>
    </row>
    <row r="22" spans="1:9" x14ac:dyDescent="0.25">
      <c r="A22" s="14" t="s">
        <v>388</v>
      </c>
      <c r="B22" s="14" t="s">
        <v>84</v>
      </c>
      <c r="C22" s="14" t="s">
        <v>75</v>
      </c>
      <c r="D22" s="1">
        <v>34648</v>
      </c>
      <c r="E22" s="14" t="s">
        <v>30</v>
      </c>
      <c r="F22" s="14" t="s">
        <v>85</v>
      </c>
      <c r="G22" s="14" t="s">
        <v>26</v>
      </c>
      <c r="H22" s="1">
        <v>45195</v>
      </c>
      <c r="I22" s="14" t="s">
        <v>13</v>
      </c>
    </row>
    <row r="23" spans="1:9" x14ac:dyDescent="0.25">
      <c r="A23" s="14" t="s">
        <v>389</v>
      </c>
      <c r="B23" s="14" t="s">
        <v>86</v>
      </c>
      <c r="C23" s="14" t="s">
        <v>66</v>
      </c>
      <c r="D23" s="1">
        <v>34063</v>
      </c>
      <c r="E23" s="14" t="s">
        <v>10</v>
      </c>
      <c r="F23" s="14" t="s">
        <v>87</v>
      </c>
      <c r="G23" s="14" t="s">
        <v>22</v>
      </c>
      <c r="H23" s="1">
        <v>44383</v>
      </c>
      <c r="I23" s="14" t="s">
        <v>73</v>
      </c>
    </row>
    <row r="24" spans="1:9" x14ac:dyDescent="0.25">
      <c r="A24" s="14" t="s">
        <v>390</v>
      </c>
      <c r="B24" s="14" t="s">
        <v>35</v>
      </c>
      <c r="C24" s="14" t="s">
        <v>40</v>
      </c>
      <c r="D24" s="1">
        <v>35244</v>
      </c>
      <c r="E24" s="14" t="s">
        <v>10</v>
      </c>
      <c r="F24" s="14" t="s">
        <v>88</v>
      </c>
      <c r="G24" s="14" t="s">
        <v>89</v>
      </c>
      <c r="H24" s="1">
        <v>44746</v>
      </c>
      <c r="I24" s="14" t="s">
        <v>27</v>
      </c>
    </row>
    <row r="25" spans="1:9" x14ac:dyDescent="0.25">
      <c r="A25" s="14" t="s">
        <v>391</v>
      </c>
      <c r="B25" s="14" t="s">
        <v>19</v>
      </c>
      <c r="C25" s="14" t="s">
        <v>90</v>
      </c>
      <c r="D25" s="1">
        <v>33191</v>
      </c>
      <c r="E25" s="14" t="s">
        <v>10</v>
      </c>
      <c r="F25" s="14" t="s">
        <v>91</v>
      </c>
      <c r="G25" s="14" t="s">
        <v>65</v>
      </c>
      <c r="H25" s="1">
        <v>44895</v>
      </c>
      <c r="I25" s="14" t="s">
        <v>51</v>
      </c>
    </row>
    <row r="26" spans="1:9" x14ac:dyDescent="0.25">
      <c r="A26" s="14" t="s">
        <v>392</v>
      </c>
      <c r="B26" s="14" t="s">
        <v>92</v>
      </c>
      <c r="C26" s="14" t="s">
        <v>66</v>
      </c>
      <c r="D26" s="1">
        <v>34392</v>
      </c>
      <c r="E26" s="14" t="s">
        <v>10</v>
      </c>
      <c r="F26" s="14" t="s">
        <v>93</v>
      </c>
      <c r="G26" s="14" t="s">
        <v>61</v>
      </c>
      <c r="H26" s="1">
        <v>45061</v>
      </c>
      <c r="I26" s="14" t="s">
        <v>94</v>
      </c>
    </row>
    <row r="27" spans="1:9" x14ac:dyDescent="0.25">
      <c r="A27" s="14" t="s">
        <v>393</v>
      </c>
      <c r="B27" s="14" t="s">
        <v>95</v>
      </c>
      <c r="C27" s="14" t="s">
        <v>96</v>
      </c>
      <c r="D27" s="1">
        <v>34131</v>
      </c>
      <c r="E27" s="14" t="s">
        <v>30</v>
      </c>
      <c r="F27" s="14" t="s">
        <v>97</v>
      </c>
      <c r="G27" s="14" t="s">
        <v>51</v>
      </c>
      <c r="H27" s="1">
        <v>44821</v>
      </c>
      <c r="I27" s="14" t="s">
        <v>17</v>
      </c>
    </row>
    <row r="28" spans="1:9" x14ac:dyDescent="0.25">
      <c r="A28" s="14" t="s">
        <v>394</v>
      </c>
      <c r="B28" s="14" t="s">
        <v>98</v>
      </c>
      <c r="C28" s="14" t="s">
        <v>59</v>
      </c>
      <c r="D28" s="1">
        <v>36214</v>
      </c>
      <c r="E28" s="14" t="s">
        <v>30</v>
      </c>
      <c r="F28" s="14" t="s">
        <v>99</v>
      </c>
      <c r="G28" s="14" t="s">
        <v>100</v>
      </c>
      <c r="H28" s="1">
        <v>44393</v>
      </c>
      <c r="I28" s="14" t="s">
        <v>51</v>
      </c>
    </row>
    <row r="29" spans="1:9" x14ac:dyDescent="0.25">
      <c r="A29" s="14" t="s">
        <v>395</v>
      </c>
      <c r="B29" s="14" t="s">
        <v>23</v>
      </c>
      <c r="C29" s="14" t="s">
        <v>96</v>
      </c>
      <c r="D29" s="1">
        <v>35242</v>
      </c>
      <c r="E29" s="14" t="s">
        <v>10</v>
      </c>
      <c r="F29" s="14" t="s">
        <v>101</v>
      </c>
      <c r="G29" s="14" t="s">
        <v>42</v>
      </c>
      <c r="H29" s="1">
        <v>44604</v>
      </c>
      <c r="I29" s="14" t="s">
        <v>89</v>
      </c>
    </row>
    <row r="30" spans="1:9" x14ac:dyDescent="0.25">
      <c r="A30" s="14" t="s">
        <v>396</v>
      </c>
      <c r="B30" s="14" t="s">
        <v>28</v>
      </c>
      <c r="C30" s="14" t="s">
        <v>20</v>
      </c>
      <c r="D30" s="1">
        <v>33937</v>
      </c>
      <c r="E30" s="14" t="s">
        <v>30</v>
      </c>
      <c r="F30" s="14" t="s">
        <v>102</v>
      </c>
      <c r="G30" s="14" t="s">
        <v>46</v>
      </c>
      <c r="H30" s="1">
        <v>44905</v>
      </c>
      <c r="I30" s="14" t="s">
        <v>65</v>
      </c>
    </row>
    <row r="31" spans="1:9" x14ac:dyDescent="0.25">
      <c r="A31" s="14" t="s">
        <v>397</v>
      </c>
      <c r="B31" s="14" t="s">
        <v>92</v>
      </c>
      <c r="C31" s="14" t="s">
        <v>103</v>
      </c>
      <c r="D31" s="1">
        <v>36568</v>
      </c>
      <c r="E31" s="14" t="s">
        <v>10</v>
      </c>
      <c r="F31" s="14" t="s">
        <v>104</v>
      </c>
      <c r="G31" s="14" t="s">
        <v>18</v>
      </c>
      <c r="H31" s="1">
        <v>45262</v>
      </c>
      <c r="I31" s="14" t="s">
        <v>42</v>
      </c>
    </row>
    <row r="32" spans="1:9" x14ac:dyDescent="0.25">
      <c r="A32" s="14" t="s">
        <v>398</v>
      </c>
      <c r="B32" s="14" t="s">
        <v>28</v>
      </c>
      <c r="C32" s="14" t="s">
        <v>53</v>
      </c>
      <c r="D32" s="1">
        <v>34473</v>
      </c>
      <c r="E32" s="14" t="s">
        <v>30</v>
      </c>
      <c r="F32" s="14" t="s">
        <v>105</v>
      </c>
      <c r="G32" s="14" t="s">
        <v>46</v>
      </c>
      <c r="H32" s="1">
        <v>44293</v>
      </c>
      <c r="I32" s="14" t="s">
        <v>89</v>
      </c>
    </row>
    <row r="33" spans="1:9" x14ac:dyDescent="0.25">
      <c r="A33" s="14" t="s">
        <v>399</v>
      </c>
      <c r="B33" s="14" t="s">
        <v>69</v>
      </c>
      <c r="C33" s="14" t="s">
        <v>106</v>
      </c>
      <c r="D33" s="1">
        <v>33687</v>
      </c>
      <c r="E33" s="14" t="s">
        <v>30</v>
      </c>
      <c r="F33" s="14" t="s">
        <v>107</v>
      </c>
      <c r="G33" s="14" t="s">
        <v>42</v>
      </c>
      <c r="H33" s="1">
        <v>45139</v>
      </c>
      <c r="I33" s="14" t="s">
        <v>47</v>
      </c>
    </row>
    <row r="34" spans="1:9" x14ac:dyDescent="0.25">
      <c r="A34" s="14" t="s">
        <v>400</v>
      </c>
      <c r="B34" s="14" t="s">
        <v>108</v>
      </c>
      <c r="C34" s="14" t="s">
        <v>44</v>
      </c>
      <c r="D34" s="1">
        <v>35791</v>
      </c>
      <c r="E34" s="14" t="s">
        <v>10</v>
      </c>
      <c r="F34" s="14" t="s">
        <v>109</v>
      </c>
      <c r="G34" s="14" t="s">
        <v>13</v>
      </c>
      <c r="H34" s="1">
        <v>45108</v>
      </c>
      <c r="I34" s="14" t="s">
        <v>26</v>
      </c>
    </row>
    <row r="35" spans="1:9" x14ac:dyDescent="0.25">
      <c r="A35" s="14" t="s">
        <v>401</v>
      </c>
      <c r="B35" s="14" t="s">
        <v>110</v>
      </c>
      <c r="C35" s="14" t="s">
        <v>29</v>
      </c>
      <c r="D35" s="1">
        <v>36356</v>
      </c>
      <c r="E35" s="14" t="s">
        <v>30</v>
      </c>
      <c r="F35" s="14" t="s">
        <v>111</v>
      </c>
      <c r="G35" s="14" t="s">
        <v>42</v>
      </c>
      <c r="H35" s="1">
        <v>44870</v>
      </c>
      <c r="I35" s="14" t="s">
        <v>26</v>
      </c>
    </row>
    <row r="36" spans="1:9" x14ac:dyDescent="0.25">
      <c r="A36" s="14" t="s">
        <v>402</v>
      </c>
      <c r="B36" s="14" t="s">
        <v>112</v>
      </c>
      <c r="C36" s="14" t="s">
        <v>49</v>
      </c>
      <c r="D36" s="1">
        <v>34105</v>
      </c>
      <c r="E36" s="14" t="s">
        <v>30</v>
      </c>
      <c r="F36" s="14" t="s">
        <v>113</v>
      </c>
      <c r="G36" s="14" t="s">
        <v>47</v>
      </c>
      <c r="H36" s="1">
        <v>43880</v>
      </c>
      <c r="I36" s="14" t="s">
        <v>94</v>
      </c>
    </row>
    <row r="37" spans="1:9" x14ac:dyDescent="0.25">
      <c r="A37" s="14" t="s">
        <v>403</v>
      </c>
      <c r="B37" s="14" t="s">
        <v>114</v>
      </c>
      <c r="C37" s="14" t="s">
        <v>115</v>
      </c>
      <c r="D37" s="1">
        <v>37137</v>
      </c>
      <c r="E37" s="14" t="s">
        <v>10</v>
      </c>
      <c r="F37" s="14" t="s">
        <v>116</v>
      </c>
      <c r="G37" s="14" t="s">
        <v>78</v>
      </c>
      <c r="H37" s="1">
        <v>44803</v>
      </c>
      <c r="I37" s="14" t="s">
        <v>100</v>
      </c>
    </row>
    <row r="38" spans="1:9" x14ac:dyDescent="0.25">
      <c r="A38" s="14" t="s">
        <v>404</v>
      </c>
      <c r="B38" s="14" t="s">
        <v>58</v>
      </c>
      <c r="C38" s="14" t="s">
        <v>103</v>
      </c>
      <c r="D38" s="1">
        <v>36705</v>
      </c>
      <c r="E38" s="14" t="s">
        <v>30</v>
      </c>
      <c r="F38" s="14" t="s">
        <v>117</v>
      </c>
      <c r="G38" s="14" t="s">
        <v>13</v>
      </c>
      <c r="H38" s="1">
        <v>44048</v>
      </c>
      <c r="I38" s="14" t="s">
        <v>68</v>
      </c>
    </row>
    <row r="39" spans="1:9" x14ac:dyDescent="0.25">
      <c r="A39" s="14" t="s">
        <v>405</v>
      </c>
      <c r="B39" s="14" t="s">
        <v>118</v>
      </c>
      <c r="C39" s="14" t="s">
        <v>71</v>
      </c>
      <c r="D39" s="1">
        <v>37894</v>
      </c>
      <c r="E39" s="14" t="s">
        <v>10</v>
      </c>
      <c r="F39" s="14" t="s">
        <v>119</v>
      </c>
      <c r="G39" s="14" t="s">
        <v>27</v>
      </c>
      <c r="H39" s="1">
        <v>44754</v>
      </c>
      <c r="I39" s="14" t="s">
        <v>22</v>
      </c>
    </row>
    <row r="40" spans="1:9" x14ac:dyDescent="0.25">
      <c r="A40" s="14" t="s">
        <v>406</v>
      </c>
      <c r="B40" s="14"/>
      <c r="C40" s="14"/>
      <c r="D40" s="1">
        <v>36035</v>
      </c>
      <c r="E40" s="14" t="s">
        <v>30</v>
      </c>
      <c r="F40" s="14" t="s">
        <v>121</v>
      </c>
      <c r="G40" s="14" t="s">
        <v>13</v>
      </c>
      <c r="H40" s="1">
        <v>44959</v>
      </c>
      <c r="I40" s="14" t="s">
        <v>65</v>
      </c>
    </row>
    <row r="41" spans="1:9" x14ac:dyDescent="0.25">
      <c r="A41" s="14" t="s">
        <v>407</v>
      </c>
      <c r="B41" s="14" t="s">
        <v>122</v>
      </c>
      <c r="C41" s="14" t="s">
        <v>106</v>
      </c>
      <c r="D41" s="1">
        <v>34713</v>
      </c>
      <c r="E41" s="14" t="s">
        <v>10</v>
      </c>
      <c r="F41" s="14" t="s">
        <v>123</v>
      </c>
      <c r="G41" s="14" t="s">
        <v>94</v>
      </c>
      <c r="H41" s="1">
        <v>44875</v>
      </c>
      <c r="I41" s="14" t="s">
        <v>73</v>
      </c>
    </row>
    <row r="42" spans="1:9" x14ac:dyDescent="0.25">
      <c r="A42" s="14" t="s">
        <v>408</v>
      </c>
      <c r="B42" s="14" t="s">
        <v>33</v>
      </c>
      <c r="C42" s="14" t="s">
        <v>29</v>
      </c>
      <c r="D42" s="1">
        <v>35994</v>
      </c>
      <c r="E42" s="14" t="s">
        <v>30</v>
      </c>
      <c r="F42" s="14" t="s">
        <v>124</v>
      </c>
      <c r="G42" s="14" t="s">
        <v>18</v>
      </c>
      <c r="H42" s="1">
        <v>44926</v>
      </c>
      <c r="I42" s="14" t="s">
        <v>46</v>
      </c>
    </row>
    <row r="43" spans="1:9" x14ac:dyDescent="0.25">
      <c r="A43" s="14" t="s">
        <v>409</v>
      </c>
      <c r="B43" s="14" t="s">
        <v>79</v>
      </c>
      <c r="C43" s="14" t="s">
        <v>125</v>
      </c>
      <c r="D43" s="1">
        <v>35957</v>
      </c>
      <c r="E43" s="14" t="s">
        <v>30</v>
      </c>
      <c r="F43" s="14" t="s">
        <v>126</v>
      </c>
      <c r="G43" s="14" t="s">
        <v>65</v>
      </c>
      <c r="H43" s="1">
        <v>44028</v>
      </c>
      <c r="I43" s="14" t="s">
        <v>57</v>
      </c>
    </row>
    <row r="44" spans="1:9" x14ac:dyDescent="0.25">
      <c r="A44" s="14" t="s">
        <v>410</v>
      </c>
      <c r="B44" s="14" t="s">
        <v>112</v>
      </c>
      <c r="C44" s="14" t="s">
        <v>127</v>
      </c>
      <c r="D44" s="1">
        <v>34114</v>
      </c>
      <c r="E44" s="14" t="s">
        <v>30</v>
      </c>
      <c r="F44" s="14" t="s">
        <v>128</v>
      </c>
      <c r="G44" s="14" t="s">
        <v>77</v>
      </c>
      <c r="H44" s="1">
        <v>44141</v>
      </c>
      <c r="I44" s="14" t="s">
        <v>61</v>
      </c>
    </row>
    <row r="45" spans="1:9" x14ac:dyDescent="0.25">
      <c r="A45" s="14" t="s">
        <v>411</v>
      </c>
      <c r="B45" s="14" t="s">
        <v>129</v>
      </c>
      <c r="C45" s="14" t="s">
        <v>130</v>
      </c>
      <c r="D45" s="1">
        <v>37177</v>
      </c>
      <c r="E45" s="14" t="s">
        <v>30</v>
      </c>
      <c r="F45" s="14" t="s">
        <v>131</v>
      </c>
      <c r="G45" s="14" t="s">
        <v>68</v>
      </c>
      <c r="H45" s="1">
        <v>44485</v>
      </c>
      <c r="I45" s="14" t="s">
        <v>13</v>
      </c>
    </row>
    <row r="46" spans="1:9" x14ac:dyDescent="0.25">
      <c r="A46" s="14" t="s">
        <v>412</v>
      </c>
      <c r="B46" s="14" t="s">
        <v>132</v>
      </c>
      <c r="C46" s="14" t="s">
        <v>133</v>
      </c>
      <c r="D46" s="1">
        <v>33694</v>
      </c>
      <c r="E46" s="14" t="s">
        <v>10</v>
      </c>
      <c r="F46" s="14" t="s">
        <v>134</v>
      </c>
      <c r="G46" s="14" t="s">
        <v>78</v>
      </c>
      <c r="H46" s="1">
        <v>44133</v>
      </c>
      <c r="I46" s="14" t="s">
        <v>12</v>
      </c>
    </row>
    <row r="47" spans="1:9" x14ac:dyDescent="0.25">
      <c r="A47" s="14" t="s">
        <v>413</v>
      </c>
      <c r="B47" s="14" t="s">
        <v>98</v>
      </c>
      <c r="C47" s="14" t="s">
        <v>24</v>
      </c>
      <c r="D47" s="1">
        <v>35148</v>
      </c>
      <c r="E47" s="14" t="s">
        <v>30</v>
      </c>
      <c r="F47" s="14" t="s">
        <v>135</v>
      </c>
      <c r="G47" s="14" t="s">
        <v>94</v>
      </c>
      <c r="H47" s="1">
        <v>45214</v>
      </c>
      <c r="I47" s="14" t="s">
        <v>42</v>
      </c>
    </row>
    <row r="48" spans="1:9" x14ac:dyDescent="0.25">
      <c r="A48" s="14" t="s">
        <v>414</v>
      </c>
      <c r="B48" s="14" t="s">
        <v>136</v>
      </c>
      <c r="C48" s="14" t="s">
        <v>90</v>
      </c>
      <c r="D48" s="1">
        <v>37634</v>
      </c>
      <c r="E48" s="14" t="s">
        <v>30</v>
      </c>
      <c r="F48" s="14" t="s">
        <v>137</v>
      </c>
      <c r="G48" s="14" t="s">
        <v>13</v>
      </c>
      <c r="H48" s="1">
        <v>44471</v>
      </c>
      <c r="I48" s="14" t="s">
        <v>27</v>
      </c>
    </row>
    <row r="49" spans="1:9" x14ac:dyDescent="0.25">
      <c r="A49" s="14" t="s">
        <v>415</v>
      </c>
      <c r="B49" s="14" t="s">
        <v>138</v>
      </c>
      <c r="C49" s="14" t="s">
        <v>63</v>
      </c>
      <c r="D49" s="1">
        <v>34184</v>
      </c>
      <c r="E49" s="14" t="s">
        <v>30</v>
      </c>
      <c r="F49" s="14" t="s">
        <v>139</v>
      </c>
      <c r="G49" s="14" t="s">
        <v>61</v>
      </c>
      <c r="H49" s="1">
        <v>45205</v>
      </c>
      <c r="I49" s="14" t="s">
        <v>77</v>
      </c>
    </row>
    <row r="50" spans="1:9" x14ac:dyDescent="0.25">
      <c r="A50" s="14" t="s">
        <v>416</v>
      </c>
      <c r="B50" s="14" t="s">
        <v>28</v>
      </c>
      <c r="C50" s="14" t="s">
        <v>130</v>
      </c>
      <c r="D50" s="1">
        <v>36061</v>
      </c>
      <c r="E50" s="14" t="s">
        <v>30</v>
      </c>
      <c r="F50" s="14" t="s">
        <v>140</v>
      </c>
      <c r="G50" s="14" t="s">
        <v>78</v>
      </c>
      <c r="H50" s="1">
        <v>44129</v>
      </c>
      <c r="I50" s="14" t="s">
        <v>73</v>
      </c>
    </row>
    <row r="51" spans="1:9" x14ac:dyDescent="0.25">
      <c r="A51" s="14" t="s">
        <v>417</v>
      </c>
      <c r="B51" s="14" t="s">
        <v>95</v>
      </c>
      <c r="C51" s="14" t="s">
        <v>24</v>
      </c>
      <c r="D51" s="1">
        <v>34637</v>
      </c>
      <c r="E51" s="14" t="s">
        <v>30</v>
      </c>
      <c r="F51" s="14" t="s">
        <v>141</v>
      </c>
      <c r="G51" s="14" t="s">
        <v>68</v>
      </c>
      <c r="H51" s="1">
        <v>44260</v>
      </c>
      <c r="I51" s="14" t="s">
        <v>51</v>
      </c>
    </row>
    <row r="52" spans="1:9" x14ac:dyDescent="0.25">
      <c r="A52" s="14" t="s">
        <v>418</v>
      </c>
      <c r="B52" s="14" t="s">
        <v>43</v>
      </c>
      <c r="C52" s="14" t="s">
        <v>75</v>
      </c>
      <c r="D52" s="1">
        <v>37049</v>
      </c>
      <c r="E52" s="14" t="s">
        <v>10</v>
      </c>
      <c r="F52" s="14" t="s">
        <v>142</v>
      </c>
      <c r="G52" s="14" t="s">
        <v>77</v>
      </c>
      <c r="H52" s="1">
        <v>44811</v>
      </c>
      <c r="I52" s="14" t="s">
        <v>94</v>
      </c>
    </row>
    <row r="53" spans="1:9" x14ac:dyDescent="0.25">
      <c r="A53" s="14" t="s">
        <v>419</v>
      </c>
      <c r="B53" s="14" t="s">
        <v>143</v>
      </c>
      <c r="C53" s="14" t="s">
        <v>82</v>
      </c>
      <c r="D53" s="1">
        <v>34893</v>
      </c>
      <c r="E53" s="14" t="s">
        <v>30</v>
      </c>
      <c r="F53" s="14" t="s">
        <v>144</v>
      </c>
      <c r="G53" s="14" t="s">
        <v>18</v>
      </c>
      <c r="H53" s="1">
        <v>45080</v>
      </c>
      <c r="I53" s="14" t="s">
        <v>46</v>
      </c>
    </row>
    <row r="54" spans="1:9" x14ac:dyDescent="0.25">
      <c r="A54" s="14" t="s">
        <v>420</v>
      </c>
      <c r="B54" s="14" t="s">
        <v>145</v>
      </c>
      <c r="C54" s="14" t="s">
        <v>106</v>
      </c>
      <c r="D54" s="1">
        <v>34951</v>
      </c>
      <c r="E54" s="14" t="s">
        <v>30</v>
      </c>
      <c r="F54" s="14" t="s">
        <v>146</v>
      </c>
      <c r="G54" s="14" t="s">
        <v>147</v>
      </c>
      <c r="H54" s="1">
        <v>44031</v>
      </c>
      <c r="I54" s="14" t="s">
        <v>78</v>
      </c>
    </row>
    <row r="55" spans="1:9" x14ac:dyDescent="0.25">
      <c r="A55" s="14" t="s">
        <v>421</v>
      </c>
      <c r="B55" s="14" t="s">
        <v>148</v>
      </c>
      <c r="C55" s="14" t="s">
        <v>90</v>
      </c>
      <c r="D55" s="1">
        <v>33646</v>
      </c>
      <c r="E55" s="14" t="s">
        <v>30</v>
      </c>
      <c r="F55" s="14" t="s">
        <v>149</v>
      </c>
      <c r="G55" s="14" t="s">
        <v>22</v>
      </c>
      <c r="H55" s="1">
        <v>44464</v>
      </c>
      <c r="I55" s="14" t="s">
        <v>73</v>
      </c>
    </row>
    <row r="56" spans="1:9" x14ac:dyDescent="0.25">
      <c r="A56" s="14" t="s">
        <v>422</v>
      </c>
      <c r="B56" s="14" t="s">
        <v>108</v>
      </c>
      <c r="C56" s="14" t="s">
        <v>150</v>
      </c>
      <c r="D56" s="1">
        <v>36310</v>
      </c>
      <c r="E56" s="14" t="s">
        <v>10</v>
      </c>
      <c r="F56" s="14" t="s">
        <v>151</v>
      </c>
      <c r="G56" s="14" t="s">
        <v>18</v>
      </c>
      <c r="H56" s="1">
        <v>44023</v>
      </c>
      <c r="I56" s="14" t="s">
        <v>77</v>
      </c>
    </row>
    <row r="57" spans="1:9" x14ac:dyDescent="0.25">
      <c r="A57" s="14" t="s">
        <v>423</v>
      </c>
      <c r="B57" s="14" t="s">
        <v>152</v>
      </c>
      <c r="C57" s="14" t="s">
        <v>82</v>
      </c>
      <c r="D57" s="1">
        <v>33388</v>
      </c>
      <c r="E57" s="14" t="s">
        <v>30</v>
      </c>
      <c r="F57" s="14" t="s">
        <v>153</v>
      </c>
      <c r="G57" s="14" t="s">
        <v>26</v>
      </c>
      <c r="H57" s="1">
        <v>44510</v>
      </c>
      <c r="I57" s="14" t="s">
        <v>42</v>
      </c>
    </row>
    <row r="58" spans="1:9" x14ac:dyDescent="0.25">
      <c r="A58" s="14" t="s">
        <v>424</v>
      </c>
      <c r="B58" s="14" t="s">
        <v>154</v>
      </c>
      <c r="C58" s="14" t="s">
        <v>115</v>
      </c>
      <c r="D58" s="1">
        <v>32879</v>
      </c>
      <c r="E58" s="14" t="s">
        <v>30</v>
      </c>
      <c r="F58" s="14" t="s">
        <v>155</v>
      </c>
      <c r="G58" s="14" t="s">
        <v>22</v>
      </c>
      <c r="H58" s="1">
        <v>44739</v>
      </c>
      <c r="I58" s="14" t="s">
        <v>68</v>
      </c>
    </row>
    <row r="59" spans="1:9" x14ac:dyDescent="0.25">
      <c r="A59" s="14" t="s">
        <v>425</v>
      </c>
      <c r="B59" s="14" t="s">
        <v>154</v>
      </c>
      <c r="C59" s="14" t="s">
        <v>127</v>
      </c>
      <c r="D59" s="1">
        <v>38069</v>
      </c>
      <c r="E59" s="14" t="s">
        <v>30</v>
      </c>
      <c r="F59" s="14" t="s">
        <v>156</v>
      </c>
      <c r="G59" s="14" t="s">
        <v>13</v>
      </c>
      <c r="H59" s="1">
        <v>44523</v>
      </c>
      <c r="I59" s="14" t="s">
        <v>77</v>
      </c>
    </row>
    <row r="60" spans="1:9" x14ac:dyDescent="0.25">
      <c r="A60" s="14" t="s">
        <v>426</v>
      </c>
      <c r="B60" s="14" t="s">
        <v>138</v>
      </c>
      <c r="C60" s="14" t="s">
        <v>103</v>
      </c>
      <c r="D60" s="1">
        <v>35116</v>
      </c>
      <c r="E60" s="14" t="s">
        <v>30</v>
      </c>
      <c r="F60" s="14" t="s">
        <v>157</v>
      </c>
      <c r="G60" s="14" t="s">
        <v>57</v>
      </c>
      <c r="H60" s="1">
        <v>45278</v>
      </c>
      <c r="I60" s="14" t="s">
        <v>51</v>
      </c>
    </row>
    <row r="61" spans="1:9" x14ac:dyDescent="0.25">
      <c r="A61" s="14" t="s">
        <v>427</v>
      </c>
      <c r="B61" s="14" t="s">
        <v>23</v>
      </c>
      <c r="C61" s="14" t="s">
        <v>71</v>
      </c>
      <c r="D61" s="1">
        <v>34465</v>
      </c>
      <c r="E61" s="14" t="s">
        <v>10</v>
      </c>
      <c r="F61" s="14" t="s">
        <v>158</v>
      </c>
      <c r="G61" s="14" t="s">
        <v>68</v>
      </c>
      <c r="H61" s="1">
        <v>44719</v>
      </c>
      <c r="I61" s="14" t="s">
        <v>94</v>
      </c>
    </row>
    <row r="62" spans="1:9" x14ac:dyDescent="0.25">
      <c r="A62" s="14" t="s">
        <v>428</v>
      </c>
      <c r="B62" s="14" t="s">
        <v>33</v>
      </c>
      <c r="C62" s="14" t="s">
        <v>127</v>
      </c>
      <c r="D62" s="1">
        <v>33049</v>
      </c>
      <c r="E62" s="14" t="s">
        <v>30</v>
      </c>
      <c r="F62" s="14" t="s">
        <v>159</v>
      </c>
      <c r="G62" s="14" t="s">
        <v>46</v>
      </c>
      <c r="H62" s="1">
        <v>44990</v>
      </c>
      <c r="I62" s="14" t="s">
        <v>47</v>
      </c>
    </row>
    <row r="63" spans="1:9" x14ac:dyDescent="0.25">
      <c r="A63" s="14" t="s">
        <v>429</v>
      </c>
      <c r="B63" s="14" t="s">
        <v>143</v>
      </c>
      <c r="C63" s="14" t="s">
        <v>9</v>
      </c>
      <c r="D63" s="1">
        <v>33718</v>
      </c>
      <c r="E63" s="14" t="s">
        <v>30</v>
      </c>
      <c r="F63" s="14" t="s">
        <v>160</v>
      </c>
      <c r="G63" s="14" t="s">
        <v>32</v>
      </c>
      <c r="H63" s="1">
        <v>44959</v>
      </c>
      <c r="I63" s="14" t="s">
        <v>13</v>
      </c>
    </row>
    <row r="64" spans="1:9" x14ac:dyDescent="0.25">
      <c r="A64" s="14" t="s">
        <v>430</v>
      </c>
      <c r="B64" s="14" t="s">
        <v>110</v>
      </c>
      <c r="C64" s="14" t="s">
        <v>161</v>
      </c>
      <c r="D64" s="1">
        <v>33270</v>
      </c>
      <c r="E64" s="14" t="s">
        <v>30</v>
      </c>
      <c r="F64" s="14" t="s">
        <v>162</v>
      </c>
      <c r="G64" s="14" t="s">
        <v>38</v>
      </c>
      <c r="H64" s="1">
        <v>43863</v>
      </c>
      <c r="I64" s="14" t="s">
        <v>78</v>
      </c>
    </row>
    <row r="65" spans="1:9" x14ac:dyDescent="0.25">
      <c r="A65" s="14" t="s">
        <v>431</v>
      </c>
      <c r="B65" s="14" t="s">
        <v>163</v>
      </c>
      <c r="C65" s="14" t="s">
        <v>164</v>
      </c>
      <c r="D65" s="1">
        <v>37641</v>
      </c>
      <c r="E65" s="14" t="s">
        <v>10</v>
      </c>
      <c r="F65" s="14" t="s">
        <v>165</v>
      </c>
      <c r="G65" s="14" t="s">
        <v>73</v>
      </c>
      <c r="H65" s="1">
        <v>43874</v>
      </c>
      <c r="I65" s="14" t="s">
        <v>61</v>
      </c>
    </row>
    <row r="66" spans="1:9" x14ac:dyDescent="0.25">
      <c r="A66" s="14" t="s">
        <v>432</v>
      </c>
      <c r="B66" s="14" t="s">
        <v>35</v>
      </c>
      <c r="C66" s="14" t="s">
        <v>133</v>
      </c>
      <c r="D66" s="1">
        <v>36849</v>
      </c>
      <c r="E66" s="14" t="s">
        <v>10</v>
      </c>
      <c r="F66" s="14" t="s">
        <v>166</v>
      </c>
      <c r="G66" s="14" t="s">
        <v>68</v>
      </c>
      <c r="H66" s="1">
        <v>44330</v>
      </c>
      <c r="I66" s="14" t="s">
        <v>147</v>
      </c>
    </row>
    <row r="67" spans="1:9" x14ac:dyDescent="0.25">
      <c r="A67" s="14" t="s">
        <v>433</v>
      </c>
      <c r="B67" s="14" t="s">
        <v>167</v>
      </c>
      <c r="C67" s="14" t="s">
        <v>29</v>
      </c>
      <c r="D67" s="1">
        <v>35348</v>
      </c>
      <c r="E67" s="14" t="s">
        <v>10</v>
      </c>
      <c r="F67" s="14" t="s">
        <v>168</v>
      </c>
      <c r="G67" s="14" t="s">
        <v>26</v>
      </c>
      <c r="H67" s="1">
        <v>45229</v>
      </c>
      <c r="I67" s="14" t="s">
        <v>42</v>
      </c>
    </row>
    <row r="68" spans="1:9" x14ac:dyDescent="0.25">
      <c r="A68" s="14" t="s">
        <v>434</v>
      </c>
      <c r="B68" s="14" t="s">
        <v>120</v>
      </c>
      <c r="C68" s="14" t="s">
        <v>150</v>
      </c>
      <c r="D68" s="1">
        <v>35868</v>
      </c>
      <c r="E68" s="14" t="s">
        <v>30</v>
      </c>
      <c r="F68" s="14" t="s">
        <v>169</v>
      </c>
      <c r="G68" s="14" t="s">
        <v>73</v>
      </c>
      <c r="H68" s="1">
        <v>43887</v>
      </c>
      <c r="I68" s="14" t="s">
        <v>68</v>
      </c>
    </row>
    <row r="69" spans="1:9" x14ac:dyDescent="0.25">
      <c r="A69" s="14" t="s">
        <v>435</v>
      </c>
      <c r="B69" s="14" t="s">
        <v>132</v>
      </c>
      <c r="C69" s="14" t="s">
        <v>66</v>
      </c>
      <c r="D69" s="1">
        <v>33376</v>
      </c>
      <c r="E69" s="14" t="s">
        <v>10</v>
      </c>
      <c r="F69" s="14" t="s">
        <v>170</v>
      </c>
      <c r="G69" s="14" t="s">
        <v>46</v>
      </c>
      <c r="H69" s="1">
        <v>44585</v>
      </c>
      <c r="I69" s="14" t="s">
        <v>94</v>
      </c>
    </row>
    <row r="70" spans="1:9" x14ac:dyDescent="0.25">
      <c r="A70" s="14" t="s">
        <v>436</v>
      </c>
      <c r="B70" s="14" t="s">
        <v>171</v>
      </c>
      <c r="C70" s="14" t="s">
        <v>63</v>
      </c>
      <c r="D70" s="1">
        <v>33315</v>
      </c>
      <c r="E70" s="14" t="s">
        <v>30</v>
      </c>
      <c r="F70" s="14" t="s">
        <v>172</v>
      </c>
      <c r="G70" s="14" t="s">
        <v>100</v>
      </c>
      <c r="H70" s="1">
        <v>43943</v>
      </c>
      <c r="I70" s="14" t="s">
        <v>61</v>
      </c>
    </row>
    <row r="71" spans="1:9" x14ac:dyDescent="0.25">
      <c r="A71" s="14" t="s">
        <v>437</v>
      </c>
      <c r="B71" s="14" t="s">
        <v>120</v>
      </c>
      <c r="C71" s="14" t="s">
        <v>53</v>
      </c>
      <c r="D71" s="1">
        <v>35915</v>
      </c>
      <c r="E71" s="14" t="s">
        <v>30</v>
      </c>
      <c r="F71" s="14" t="s">
        <v>173</v>
      </c>
      <c r="G71" s="14" t="s">
        <v>68</v>
      </c>
      <c r="H71" s="1">
        <v>44529</v>
      </c>
      <c r="I71" s="14" t="s">
        <v>89</v>
      </c>
    </row>
    <row r="72" spans="1:9" x14ac:dyDescent="0.25">
      <c r="A72" s="14" t="s">
        <v>438</v>
      </c>
      <c r="B72" s="14" t="s">
        <v>14</v>
      </c>
      <c r="C72" s="14" t="s">
        <v>75</v>
      </c>
      <c r="D72" s="1">
        <v>36589</v>
      </c>
      <c r="E72" s="14" t="s">
        <v>10</v>
      </c>
      <c r="F72" s="14" t="s">
        <v>174</v>
      </c>
      <c r="G72" s="14" t="s">
        <v>77</v>
      </c>
      <c r="H72" s="1">
        <v>44312</v>
      </c>
      <c r="I72" s="14" t="s">
        <v>77</v>
      </c>
    </row>
    <row r="73" spans="1:9" x14ac:dyDescent="0.25">
      <c r="A73" s="14" t="s">
        <v>439</v>
      </c>
      <c r="B73" s="14" t="s">
        <v>69</v>
      </c>
      <c r="C73" s="14" t="s">
        <v>71</v>
      </c>
      <c r="D73" s="1">
        <v>36350</v>
      </c>
      <c r="E73" s="14" t="s">
        <v>30</v>
      </c>
      <c r="F73" s="14" t="s">
        <v>175</v>
      </c>
      <c r="G73" s="14" t="s">
        <v>38</v>
      </c>
      <c r="H73" s="1">
        <v>44268</v>
      </c>
      <c r="I73" s="14" t="s">
        <v>27</v>
      </c>
    </row>
    <row r="74" spans="1:9" x14ac:dyDescent="0.25">
      <c r="A74" s="14" t="s">
        <v>440</v>
      </c>
      <c r="B74" s="14" t="s">
        <v>33</v>
      </c>
      <c r="C74" s="14" t="s">
        <v>66</v>
      </c>
      <c r="D74" s="1">
        <v>33622</v>
      </c>
      <c r="E74" s="14" t="s">
        <v>30</v>
      </c>
      <c r="F74" s="14" t="s">
        <v>176</v>
      </c>
      <c r="G74" s="14" t="s">
        <v>27</v>
      </c>
      <c r="H74" s="1">
        <v>44125</v>
      </c>
      <c r="I74" s="14" t="s">
        <v>94</v>
      </c>
    </row>
    <row r="75" spans="1:9" x14ac:dyDescent="0.25">
      <c r="A75" s="14" t="s">
        <v>441</v>
      </c>
      <c r="B75" s="14" t="s">
        <v>177</v>
      </c>
      <c r="C75" s="14" t="s">
        <v>130</v>
      </c>
      <c r="D75" s="1">
        <v>36871</v>
      </c>
      <c r="E75" s="14" t="s">
        <v>30</v>
      </c>
      <c r="F75" s="14" t="s">
        <v>178</v>
      </c>
      <c r="G75" s="14" t="s">
        <v>68</v>
      </c>
      <c r="H75" s="1">
        <v>45111</v>
      </c>
      <c r="I75" s="14" t="s">
        <v>61</v>
      </c>
    </row>
    <row r="76" spans="1:9" x14ac:dyDescent="0.25">
      <c r="A76" s="14" t="s">
        <v>442</v>
      </c>
      <c r="B76" s="14" t="s">
        <v>58</v>
      </c>
      <c r="C76" s="14" t="s">
        <v>71</v>
      </c>
      <c r="D76" s="1">
        <v>34224</v>
      </c>
      <c r="E76" s="14" t="s">
        <v>30</v>
      </c>
      <c r="F76" s="14" t="s">
        <v>179</v>
      </c>
      <c r="G76" s="14" t="s">
        <v>13</v>
      </c>
      <c r="H76" s="1">
        <v>44203</v>
      </c>
      <c r="I76" s="14" t="s">
        <v>51</v>
      </c>
    </row>
    <row r="77" spans="1:9" x14ac:dyDescent="0.25">
      <c r="A77" s="14" t="s">
        <v>443</v>
      </c>
      <c r="B77" s="14" t="s">
        <v>112</v>
      </c>
      <c r="C77" s="14" t="s">
        <v>44</v>
      </c>
      <c r="D77" s="1">
        <v>33129</v>
      </c>
      <c r="E77" s="14" t="s">
        <v>30</v>
      </c>
      <c r="F77" s="14" t="s">
        <v>180</v>
      </c>
      <c r="G77" s="14" t="s">
        <v>17</v>
      </c>
      <c r="H77" s="1">
        <v>44874</v>
      </c>
      <c r="I77" s="14" t="s">
        <v>17</v>
      </c>
    </row>
    <row r="78" spans="1:9" x14ac:dyDescent="0.25">
      <c r="A78" s="14" t="s">
        <v>444</v>
      </c>
      <c r="B78" s="14" t="s">
        <v>55</v>
      </c>
      <c r="C78" s="14" t="s">
        <v>71</v>
      </c>
      <c r="D78" s="1">
        <v>35752</v>
      </c>
      <c r="E78" s="14" t="s">
        <v>10</v>
      </c>
      <c r="F78" s="14" t="s">
        <v>181</v>
      </c>
      <c r="G78" s="14" t="s">
        <v>61</v>
      </c>
      <c r="H78" s="1">
        <v>43920</v>
      </c>
      <c r="I78" s="14" t="s">
        <v>18</v>
      </c>
    </row>
    <row r="79" spans="1:9" x14ac:dyDescent="0.25">
      <c r="A79" s="14" t="s">
        <v>445</v>
      </c>
      <c r="B79" s="14" t="s">
        <v>19</v>
      </c>
      <c r="C79" s="14" t="s">
        <v>15</v>
      </c>
      <c r="D79" s="1">
        <v>34575</v>
      </c>
      <c r="E79" s="14" t="s">
        <v>10</v>
      </c>
      <c r="F79" s="14" t="s">
        <v>182</v>
      </c>
      <c r="G79" s="14" t="s">
        <v>77</v>
      </c>
      <c r="H79" s="1">
        <v>44741</v>
      </c>
      <c r="I79" s="14" t="s">
        <v>94</v>
      </c>
    </row>
    <row r="80" spans="1:9" x14ac:dyDescent="0.25">
      <c r="A80" s="14" t="s">
        <v>446</v>
      </c>
      <c r="B80" s="14" t="s">
        <v>86</v>
      </c>
      <c r="C80" s="14" t="s">
        <v>115</v>
      </c>
      <c r="D80" s="1">
        <v>36203</v>
      </c>
      <c r="E80" s="14" t="s">
        <v>10</v>
      </c>
      <c r="F80" s="14" t="s">
        <v>183</v>
      </c>
      <c r="G80" s="14" t="s">
        <v>13</v>
      </c>
      <c r="H80" s="1">
        <v>44231</v>
      </c>
      <c r="I80" s="14" t="s">
        <v>77</v>
      </c>
    </row>
    <row r="81" spans="1:9" x14ac:dyDescent="0.25">
      <c r="A81" s="14" t="s">
        <v>447</v>
      </c>
      <c r="B81" s="14" t="s">
        <v>110</v>
      </c>
      <c r="C81" s="14" t="s">
        <v>130</v>
      </c>
      <c r="D81" s="1">
        <v>33266</v>
      </c>
      <c r="E81" s="14" t="s">
        <v>30</v>
      </c>
      <c r="F81" s="14" t="s">
        <v>184</v>
      </c>
      <c r="G81" s="14" t="s">
        <v>12</v>
      </c>
      <c r="H81" s="1">
        <v>44335</v>
      </c>
      <c r="I81" s="14" t="s">
        <v>18</v>
      </c>
    </row>
    <row r="82" spans="1:9" x14ac:dyDescent="0.25">
      <c r="A82" s="14" t="s">
        <v>448</v>
      </c>
      <c r="B82" s="14" t="s">
        <v>122</v>
      </c>
      <c r="C82" s="14" t="s">
        <v>63</v>
      </c>
      <c r="D82" s="1">
        <v>36403</v>
      </c>
      <c r="E82" s="14" t="s">
        <v>10</v>
      </c>
      <c r="F82" s="14" t="s">
        <v>185</v>
      </c>
      <c r="G82" s="14" t="s">
        <v>68</v>
      </c>
      <c r="H82" s="1">
        <v>44462</v>
      </c>
      <c r="I82" s="14" t="s">
        <v>42</v>
      </c>
    </row>
    <row r="83" spans="1:9" x14ac:dyDescent="0.25">
      <c r="A83" s="14" t="s">
        <v>449</v>
      </c>
      <c r="B83" s="14" t="s">
        <v>23</v>
      </c>
      <c r="C83" s="14" t="s">
        <v>150</v>
      </c>
      <c r="D83" s="1">
        <v>36392</v>
      </c>
      <c r="E83" s="14" t="s">
        <v>10</v>
      </c>
      <c r="F83" s="14" t="s">
        <v>186</v>
      </c>
      <c r="G83" s="14" t="s">
        <v>12</v>
      </c>
      <c r="H83" s="1">
        <v>44413</v>
      </c>
      <c r="I83" s="14" t="s">
        <v>51</v>
      </c>
    </row>
    <row r="84" spans="1:9" x14ac:dyDescent="0.25">
      <c r="A84" s="14" t="s">
        <v>450</v>
      </c>
      <c r="B84" s="14" t="s">
        <v>187</v>
      </c>
      <c r="C84" s="14" t="s">
        <v>96</v>
      </c>
      <c r="D84" s="1">
        <v>32940</v>
      </c>
      <c r="E84" s="14" t="s">
        <v>10</v>
      </c>
      <c r="F84" s="14" t="s">
        <v>188</v>
      </c>
      <c r="G84" s="14" t="s">
        <v>61</v>
      </c>
      <c r="H84" s="1">
        <v>43904</v>
      </c>
      <c r="I84" s="14" t="s">
        <v>147</v>
      </c>
    </row>
    <row r="85" spans="1:9" x14ac:dyDescent="0.25">
      <c r="A85" s="14" t="s">
        <v>451</v>
      </c>
      <c r="B85" s="14" t="s">
        <v>58</v>
      </c>
      <c r="C85" s="14" t="s">
        <v>96</v>
      </c>
      <c r="D85" s="1">
        <v>37881</v>
      </c>
      <c r="E85" s="14" t="s">
        <v>30</v>
      </c>
      <c r="F85" s="14" t="s">
        <v>189</v>
      </c>
      <c r="G85" s="14" t="s">
        <v>78</v>
      </c>
      <c r="H85" s="1">
        <v>45223</v>
      </c>
      <c r="I85" s="14" t="s">
        <v>32</v>
      </c>
    </row>
    <row r="86" spans="1:9" x14ac:dyDescent="0.25">
      <c r="A86" s="14" t="s">
        <v>452</v>
      </c>
      <c r="B86" s="14" t="s">
        <v>39</v>
      </c>
      <c r="C86" s="14" t="s">
        <v>82</v>
      </c>
      <c r="D86" s="1">
        <v>35259</v>
      </c>
      <c r="E86" s="14" t="s">
        <v>30</v>
      </c>
      <c r="F86" s="14" t="s">
        <v>190</v>
      </c>
      <c r="G86" s="14" t="s">
        <v>73</v>
      </c>
      <c r="H86" s="1">
        <v>44486</v>
      </c>
      <c r="I86" s="14" t="s">
        <v>94</v>
      </c>
    </row>
    <row r="87" spans="1:9" x14ac:dyDescent="0.25">
      <c r="A87" s="14" t="s">
        <v>453</v>
      </c>
      <c r="B87" s="14" t="s">
        <v>52</v>
      </c>
      <c r="C87" s="14" t="s">
        <v>96</v>
      </c>
      <c r="D87" s="1">
        <v>33249</v>
      </c>
      <c r="E87" s="14" t="s">
        <v>10</v>
      </c>
      <c r="F87" s="14" t="s">
        <v>191</v>
      </c>
      <c r="G87" s="14" t="s">
        <v>147</v>
      </c>
      <c r="H87" s="1">
        <v>44951</v>
      </c>
      <c r="I87" s="14" t="s">
        <v>26</v>
      </c>
    </row>
    <row r="88" spans="1:9" x14ac:dyDescent="0.25">
      <c r="A88" s="14" t="s">
        <v>454</v>
      </c>
      <c r="B88" s="14" t="s">
        <v>192</v>
      </c>
      <c r="C88" s="14" t="s">
        <v>66</v>
      </c>
      <c r="D88" s="1">
        <v>38033</v>
      </c>
      <c r="E88" s="14" t="s">
        <v>30</v>
      </c>
      <c r="F88" s="14" t="s">
        <v>193</v>
      </c>
      <c r="G88" s="14" t="s">
        <v>100</v>
      </c>
      <c r="H88" s="1">
        <v>45216</v>
      </c>
      <c r="I88" s="14" t="s">
        <v>47</v>
      </c>
    </row>
    <row r="89" spans="1:9" x14ac:dyDescent="0.25">
      <c r="A89" s="14" t="s">
        <v>455</v>
      </c>
      <c r="B89" s="14" t="s">
        <v>177</v>
      </c>
      <c r="C89" s="14" t="s">
        <v>24</v>
      </c>
      <c r="D89" s="1">
        <v>33353</v>
      </c>
      <c r="E89" s="14" t="s">
        <v>30</v>
      </c>
      <c r="F89" s="14" t="s">
        <v>194</v>
      </c>
      <c r="G89" s="14" t="s">
        <v>22</v>
      </c>
      <c r="H89" s="1">
        <v>45223</v>
      </c>
      <c r="I89" s="14" t="s">
        <v>73</v>
      </c>
    </row>
    <row r="90" spans="1:9" x14ac:dyDescent="0.25">
      <c r="A90" s="14" t="s">
        <v>456</v>
      </c>
      <c r="B90" s="14" t="s">
        <v>195</v>
      </c>
      <c r="C90" s="14" t="s">
        <v>96</v>
      </c>
      <c r="D90" s="1">
        <v>37460</v>
      </c>
      <c r="E90" s="14" t="s">
        <v>10</v>
      </c>
      <c r="F90" s="14" t="s">
        <v>196</v>
      </c>
      <c r="G90" s="14" t="s">
        <v>147</v>
      </c>
      <c r="H90" s="1">
        <v>45029</v>
      </c>
      <c r="I90" s="14" t="s">
        <v>12</v>
      </c>
    </row>
    <row r="91" spans="1:9" x14ac:dyDescent="0.25">
      <c r="A91" s="14" t="s">
        <v>457</v>
      </c>
      <c r="B91" s="14" t="s">
        <v>143</v>
      </c>
      <c r="C91" s="14" t="s">
        <v>36</v>
      </c>
      <c r="D91" s="1">
        <v>33893</v>
      </c>
      <c r="E91" s="14" t="s">
        <v>30</v>
      </c>
      <c r="F91" s="14" t="s">
        <v>197</v>
      </c>
      <c r="G91" s="14" t="s">
        <v>89</v>
      </c>
      <c r="H91" s="1">
        <v>44816</v>
      </c>
      <c r="I91" s="14" t="s">
        <v>27</v>
      </c>
    </row>
    <row r="92" spans="1:9" x14ac:dyDescent="0.25">
      <c r="A92" s="14" t="s">
        <v>458</v>
      </c>
      <c r="B92" s="14" t="s">
        <v>69</v>
      </c>
      <c r="C92" s="14" t="s">
        <v>53</v>
      </c>
      <c r="D92" s="1">
        <v>33376</v>
      </c>
      <c r="E92" s="14" t="s">
        <v>30</v>
      </c>
      <c r="F92" s="14" t="s">
        <v>198</v>
      </c>
      <c r="G92" s="14" t="s">
        <v>38</v>
      </c>
      <c r="H92" s="1">
        <v>43842</v>
      </c>
      <c r="I92" s="14" t="s">
        <v>22</v>
      </c>
    </row>
    <row r="93" spans="1:9" x14ac:dyDescent="0.25">
      <c r="A93" s="14" t="s">
        <v>459</v>
      </c>
      <c r="B93" s="14" t="s">
        <v>199</v>
      </c>
      <c r="C93" s="14" t="s">
        <v>24</v>
      </c>
      <c r="D93" s="1">
        <v>32947</v>
      </c>
      <c r="E93" s="14" t="s">
        <v>10</v>
      </c>
      <c r="F93" s="14" t="s">
        <v>200</v>
      </c>
      <c r="G93" s="14" t="s">
        <v>68</v>
      </c>
      <c r="H93" s="1">
        <v>44306</v>
      </c>
      <c r="I93" s="14" t="s">
        <v>13</v>
      </c>
    </row>
    <row r="94" spans="1:9" x14ac:dyDescent="0.25">
      <c r="A94" s="14" t="s">
        <v>460</v>
      </c>
      <c r="B94" s="14" t="s">
        <v>132</v>
      </c>
      <c r="C94" s="14" t="s">
        <v>49</v>
      </c>
      <c r="D94" s="1">
        <v>34581</v>
      </c>
      <c r="E94" s="14" t="s">
        <v>10</v>
      </c>
      <c r="F94" s="14" t="s">
        <v>201</v>
      </c>
      <c r="G94" s="14" t="s">
        <v>73</v>
      </c>
      <c r="H94" s="1">
        <v>43952</v>
      </c>
      <c r="I94" s="14" t="s">
        <v>73</v>
      </c>
    </row>
    <row r="95" spans="1:9" x14ac:dyDescent="0.25">
      <c r="A95" s="14" t="s">
        <v>461</v>
      </c>
      <c r="B95" s="14" t="s">
        <v>108</v>
      </c>
      <c r="C95" s="14" t="s">
        <v>49</v>
      </c>
      <c r="D95" s="1">
        <v>35128</v>
      </c>
      <c r="E95" s="14" t="s">
        <v>10</v>
      </c>
      <c r="F95" s="14" t="s">
        <v>202</v>
      </c>
      <c r="G95" s="14" t="s">
        <v>12</v>
      </c>
      <c r="H95" s="1">
        <v>45140</v>
      </c>
      <c r="I95" s="14" t="s">
        <v>27</v>
      </c>
    </row>
    <row r="96" spans="1:9" x14ac:dyDescent="0.25">
      <c r="A96" s="14" t="s">
        <v>462</v>
      </c>
      <c r="B96" s="14" t="s">
        <v>28</v>
      </c>
      <c r="C96" s="14" t="s">
        <v>96</v>
      </c>
      <c r="D96" s="1">
        <v>37016</v>
      </c>
      <c r="E96" s="14" t="s">
        <v>30</v>
      </c>
      <c r="F96" s="14" t="s">
        <v>203</v>
      </c>
      <c r="G96" s="14" t="s">
        <v>51</v>
      </c>
      <c r="H96" s="1">
        <v>45220</v>
      </c>
      <c r="I96" s="14" t="s">
        <v>32</v>
      </c>
    </row>
    <row r="97" spans="1:9" x14ac:dyDescent="0.25">
      <c r="A97" s="14" t="s">
        <v>463</v>
      </c>
      <c r="B97" s="14" t="s">
        <v>118</v>
      </c>
      <c r="C97" s="14" t="s">
        <v>106</v>
      </c>
      <c r="D97" s="1">
        <v>34930</v>
      </c>
      <c r="E97" s="14" t="s">
        <v>10</v>
      </c>
      <c r="F97" s="14" t="s">
        <v>204</v>
      </c>
      <c r="G97" s="14" t="s">
        <v>38</v>
      </c>
      <c r="H97" s="1">
        <v>43889</v>
      </c>
      <c r="I97" s="14" t="s">
        <v>78</v>
      </c>
    </row>
    <row r="98" spans="1:9" x14ac:dyDescent="0.25">
      <c r="A98" s="14" t="s">
        <v>464</v>
      </c>
      <c r="B98" s="14" t="s">
        <v>28</v>
      </c>
      <c r="C98" s="14" t="s">
        <v>53</v>
      </c>
      <c r="D98" s="1">
        <v>36925</v>
      </c>
      <c r="E98" s="14" t="s">
        <v>30</v>
      </c>
      <c r="F98" s="14" t="s">
        <v>205</v>
      </c>
      <c r="G98" s="14" t="s">
        <v>32</v>
      </c>
      <c r="H98" s="1">
        <v>44064</v>
      </c>
      <c r="I98" s="14" t="s">
        <v>22</v>
      </c>
    </row>
    <row r="99" spans="1:9" x14ac:dyDescent="0.25">
      <c r="A99" s="14" t="s">
        <v>465</v>
      </c>
      <c r="B99" s="14" t="s">
        <v>81</v>
      </c>
      <c r="C99" s="14" t="s">
        <v>29</v>
      </c>
      <c r="D99" s="1">
        <v>34442</v>
      </c>
      <c r="E99" s="14" t="s">
        <v>10</v>
      </c>
      <c r="F99" s="14" t="s">
        <v>206</v>
      </c>
      <c r="G99" s="14" t="s">
        <v>13</v>
      </c>
      <c r="H99" s="1">
        <v>44840</v>
      </c>
      <c r="I99" s="14" t="s">
        <v>51</v>
      </c>
    </row>
    <row r="100" spans="1:9" x14ac:dyDescent="0.25">
      <c r="A100" s="14" t="s">
        <v>466</v>
      </c>
      <c r="B100" s="14" t="s">
        <v>8</v>
      </c>
      <c r="C100" s="14" t="s">
        <v>63</v>
      </c>
      <c r="D100" s="1">
        <v>37725</v>
      </c>
      <c r="E100" s="14" t="s">
        <v>10</v>
      </c>
      <c r="F100" s="14" t="s">
        <v>207</v>
      </c>
      <c r="G100" s="14" t="s">
        <v>68</v>
      </c>
      <c r="H100" s="1">
        <v>44012</v>
      </c>
      <c r="I100" s="14" t="s">
        <v>26</v>
      </c>
    </row>
    <row r="101" spans="1:9" x14ac:dyDescent="0.25">
      <c r="A101" s="14" t="s">
        <v>467</v>
      </c>
      <c r="B101" s="14" t="s">
        <v>14</v>
      </c>
      <c r="C101" s="14" t="s">
        <v>49</v>
      </c>
      <c r="D101" s="1">
        <v>34283</v>
      </c>
      <c r="E101" s="14" t="s">
        <v>10</v>
      </c>
      <c r="F101" s="14" t="s">
        <v>208</v>
      </c>
      <c r="G101" s="14" t="s">
        <v>26</v>
      </c>
      <c r="H101" s="1">
        <v>44215</v>
      </c>
      <c r="I101" s="14" t="s">
        <v>26</v>
      </c>
    </row>
    <row r="102" spans="1:9" x14ac:dyDescent="0.25">
      <c r="A102" s="14" t="s">
        <v>468</v>
      </c>
      <c r="B102" s="14" t="s">
        <v>69</v>
      </c>
      <c r="C102" s="14" t="s">
        <v>59</v>
      </c>
      <c r="D102" s="1">
        <v>34867</v>
      </c>
      <c r="E102" s="14" t="s">
        <v>30</v>
      </c>
      <c r="F102" s="14" t="s">
        <v>209</v>
      </c>
      <c r="G102" s="14" t="s">
        <v>18</v>
      </c>
      <c r="H102" s="1">
        <v>44988</v>
      </c>
      <c r="I102" s="14" t="s">
        <v>51</v>
      </c>
    </row>
    <row r="103" spans="1:9" x14ac:dyDescent="0.25">
      <c r="A103" s="14" t="s">
        <v>469</v>
      </c>
      <c r="B103" s="14" t="s">
        <v>14</v>
      </c>
      <c r="C103" s="14" t="s">
        <v>29</v>
      </c>
      <c r="D103" s="1">
        <v>37603</v>
      </c>
      <c r="E103" s="14" t="s">
        <v>10</v>
      </c>
      <c r="F103" s="14" t="s">
        <v>210</v>
      </c>
      <c r="G103" s="14" t="s">
        <v>46</v>
      </c>
      <c r="H103" s="1">
        <v>44615</v>
      </c>
      <c r="I103" s="14" t="s">
        <v>18</v>
      </c>
    </row>
    <row r="104" spans="1:9" x14ac:dyDescent="0.25">
      <c r="A104" s="14" t="s">
        <v>470</v>
      </c>
      <c r="B104" s="14" t="s">
        <v>192</v>
      </c>
      <c r="C104" s="14" t="s">
        <v>103</v>
      </c>
      <c r="D104" s="1">
        <v>32883</v>
      </c>
      <c r="E104" s="14" t="s">
        <v>30</v>
      </c>
      <c r="F104" s="14" t="s">
        <v>211</v>
      </c>
      <c r="G104" s="14" t="s">
        <v>147</v>
      </c>
      <c r="H104" s="1">
        <v>44184</v>
      </c>
      <c r="I104" s="14" t="s">
        <v>51</v>
      </c>
    </row>
    <row r="105" spans="1:9" x14ac:dyDescent="0.25">
      <c r="A105" s="14" t="s">
        <v>471</v>
      </c>
      <c r="B105" s="14" t="s">
        <v>14</v>
      </c>
      <c r="C105" s="14" t="s">
        <v>161</v>
      </c>
      <c r="D105" s="1">
        <v>36602</v>
      </c>
      <c r="E105" s="14" t="s">
        <v>10</v>
      </c>
      <c r="F105" s="14" t="s">
        <v>212</v>
      </c>
      <c r="G105" s="14" t="s">
        <v>22</v>
      </c>
      <c r="H105" s="1">
        <v>44131</v>
      </c>
      <c r="I105" s="14" t="s">
        <v>89</v>
      </c>
    </row>
    <row r="106" spans="1:9" x14ac:dyDescent="0.25">
      <c r="A106" s="14" t="s">
        <v>472</v>
      </c>
      <c r="B106" s="14" t="s">
        <v>19</v>
      </c>
      <c r="C106" s="14" t="s">
        <v>133</v>
      </c>
      <c r="D106" s="1">
        <v>38130</v>
      </c>
      <c r="E106" s="14" t="s">
        <v>10</v>
      </c>
      <c r="F106" s="14" t="s">
        <v>213</v>
      </c>
      <c r="G106" s="14" t="s">
        <v>61</v>
      </c>
      <c r="H106" s="1">
        <v>43875</v>
      </c>
      <c r="I106" s="14" t="s">
        <v>47</v>
      </c>
    </row>
    <row r="107" spans="1:9" x14ac:dyDescent="0.25">
      <c r="A107" s="14" t="s">
        <v>473</v>
      </c>
      <c r="B107" s="14" t="s">
        <v>171</v>
      </c>
      <c r="C107" s="14" t="s">
        <v>24</v>
      </c>
      <c r="D107" s="1">
        <v>36054</v>
      </c>
      <c r="E107" s="14" t="s">
        <v>30</v>
      </c>
      <c r="F107" s="14" t="s">
        <v>214</v>
      </c>
      <c r="G107" s="14" t="s">
        <v>27</v>
      </c>
      <c r="H107" s="1">
        <v>44889</v>
      </c>
      <c r="I107" s="14" t="s">
        <v>18</v>
      </c>
    </row>
    <row r="108" spans="1:9" x14ac:dyDescent="0.25">
      <c r="A108" s="14" t="s">
        <v>474</v>
      </c>
      <c r="B108" s="14" t="s">
        <v>69</v>
      </c>
      <c r="C108" s="14" t="s">
        <v>125</v>
      </c>
      <c r="D108" s="1">
        <v>35181</v>
      </c>
      <c r="E108" s="14" t="s">
        <v>30</v>
      </c>
      <c r="F108" s="14" t="s">
        <v>215</v>
      </c>
      <c r="G108" s="14" t="s">
        <v>77</v>
      </c>
      <c r="H108" s="1">
        <v>44495</v>
      </c>
      <c r="I108" s="14" t="s">
        <v>32</v>
      </c>
    </row>
    <row r="109" spans="1:9" x14ac:dyDescent="0.25">
      <c r="A109" s="14" t="s">
        <v>475</v>
      </c>
      <c r="B109" s="14" t="s">
        <v>62</v>
      </c>
      <c r="C109" s="14" t="s">
        <v>59</v>
      </c>
      <c r="D109" s="1">
        <v>36470</v>
      </c>
      <c r="E109" s="14" t="s">
        <v>10</v>
      </c>
      <c r="F109" s="14" t="s">
        <v>216</v>
      </c>
      <c r="G109" s="14" t="s">
        <v>73</v>
      </c>
      <c r="H109" s="1">
        <v>44086</v>
      </c>
      <c r="I109" s="14" t="s">
        <v>73</v>
      </c>
    </row>
    <row r="110" spans="1:9" x14ac:dyDescent="0.25">
      <c r="A110" s="14" t="s">
        <v>476</v>
      </c>
      <c r="B110" s="14" t="s">
        <v>167</v>
      </c>
      <c r="C110" s="14" t="s">
        <v>9</v>
      </c>
      <c r="D110" s="1">
        <v>35404</v>
      </c>
      <c r="E110" s="14" t="s">
        <v>10</v>
      </c>
      <c r="F110" s="14" t="s">
        <v>217</v>
      </c>
      <c r="G110" s="14" t="s">
        <v>94</v>
      </c>
      <c r="H110" s="1">
        <v>43884</v>
      </c>
      <c r="I110" s="14" t="s">
        <v>94</v>
      </c>
    </row>
    <row r="111" spans="1:9" x14ac:dyDescent="0.25">
      <c r="A111" s="14" t="s">
        <v>477</v>
      </c>
      <c r="B111" s="14" t="s">
        <v>154</v>
      </c>
      <c r="C111" s="14" t="s">
        <v>53</v>
      </c>
      <c r="D111" s="1">
        <v>34590</v>
      </c>
      <c r="E111" s="14" t="s">
        <v>30</v>
      </c>
      <c r="F111" s="14" t="s">
        <v>218</v>
      </c>
      <c r="G111" s="14" t="s">
        <v>73</v>
      </c>
      <c r="H111" s="1">
        <v>45193</v>
      </c>
      <c r="I111" s="14" t="s">
        <v>94</v>
      </c>
    </row>
    <row r="112" spans="1:9" x14ac:dyDescent="0.25">
      <c r="A112" s="14" t="s">
        <v>478</v>
      </c>
      <c r="B112" s="14" t="s">
        <v>39</v>
      </c>
      <c r="C112" s="14" t="s">
        <v>20</v>
      </c>
      <c r="D112" s="1">
        <v>34075</v>
      </c>
      <c r="E112" s="14" t="s">
        <v>30</v>
      </c>
      <c r="F112" s="14" t="s">
        <v>219</v>
      </c>
      <c r="G112" s="14" t="s">
        <v>73</v>
      </c>
      <c r="H112" s="1">
        <v>43980</v>
      </c>
      <c r="I112" s="14" t="s">
        <v>51</v>
      </c>
    </row>
    <row r="113" spans="1:9" x14ac:dyDescent="0.25">
      <c r="A113" s="14" t="s">
        <v>479</v>
      </c>
      <c r="B113" s="14" t="s">
        <v>192</v>
      </c>
      <c r="C113" s="14" t="s">
        <v>15</v>
      </c>
      <c r="D113" s="1">
        <v>35930</v>
      </c>
      <c r="E113" s="14" t="s">
        <v>30</v>
      </c>
      <c r="F113" s="14" t="s">
        <v>220</v>
      </c>
      <c r="G113" s="14" t="s">
        <v>17</v>
      </c>
      <c r="H113" s="1">
        <v>45270</v>
      </c>
      <c r="I113" s="14" t="s">
        <v>89</v>
      </c>
    </row>
    <row r="114" spans="1:9" x14ac:dyDescent="0.25">
      <c r="A114" s="14" t="s">
        <v>480</v>
      </c>
      <c r="B114" s="14" t="s">
        <v>136</v>
      </c>
      <c r="C114" s="14" t="s">
        <v>90</v>
      </c>
      <c r="D114" s="1">
        <v>34486</v>
      </c>
      <c r="E114" s="14" t="s">
        <v>30</v>
      </c>
      <c r="F114" s="14" t="s">
        <v>221</v>
      </c>
      <c r="G114" s="14" t="s">
        <v>22</v>
      </c>
      <c r="H114" s="1">
        <v>43916</v>
      </c>
      <c r="I114" s="14" t="s">
        <v>147</v>
      </c>
    </row>
    <row r="115" spans="1:9" x14ac:dyDescent="0.25">
      <c r="A115" s="14" t="s">
        <v>481</v>
      </c>
      <c r="B115" s="14" t="s">
        <v>187</v>
      </c>
      <c r="C115" s="14" t="s">
        <v>106</v>
      </c>
      <c r="D115" s="1">
        <v>36709</v>
      </c>
      <c r="E115" s="14" t="s">
        <v>10</v>
      </c>
      <c r="F115" s="14" t="s">
        <v>222</v>
      </c>
      <c r="G115" s="14" t="s">
        <v>47</v>
      </c>
      <c r="H115" s="1">
        <v>44800</v>
      </c>
      <c r="I115" s="14" t="s">
        <v>12</v>
      </c>
    </row>
    <row r="116" spans="1:9" x14ac:dyDescent="0.25">
      <c r="A116" s="14" t="s">
        <v>482</v>
      </c>
      <c r="B116" s="14" t="s">
        <v>187</v>
      </c>
      <c r="C116" s="14" t="s">
        <v>130</v>
      </c>
      <c r="D116" s="1">
        <v>35843</v>
      </c>
      <c r="E116" s="14" t="s">
        <v>10</v>
      </c>
      <c r="F116" s="14" t="s">
        <v>223</v>
      </c>
      <c r="G116" s="14" t="s">
        <v>18</v>
      </c>
      <c r="H116" s="1">
        <v>44848</v>
      </c>
      <c r="I116" s="14" t="s">
        <v>47</v>
      </c>
    </row>
    <row r="117" spans="1:9" x14ac:dyDescent="0.25">
      <c r="A117" s="14" t="s">
        <v>483</v>
      </c>
      <c r="B117" s="14" t="s">
        <v>74</v>
      </c>
      <c r="C117" s="14" t="s">
        <v>125</v>
      </c>
      <c r="D117" s="1">
        <v>36325</v>
      </c>
      <c r="E117" s="14" t="s">
        <v>30</v>
      </c>
      <c r="F117" s="14" t="s">
        <v>224</v>
      </c>
      <c r="G117" s="14" t="s">
        <v>57</v>
      </c>
      <c r="H117" s="1">
        <v>45238</v>
      </c>
      <c r="I117" s="14" t="s">
        <v>17</v>
      </c>
    </row>
    <row r="118" spans="1:9" x14ac:dyDescent="0.25">
      <c r="A118" s="14" t="s">
        <v>484</v>
      </c>
      <c r="B118" s="14" t="s">
        <v>171</v>
      </c>
      <c r="C118" s="14" t="s">
        <v>127</v>
      </c>
      <c r="D118" s="1">
        <v>35061</v>
      </c>
      <c r="E118" s="14" t="s">
        <v>30</v>
      </c>
      <c r="F118" s="14" t="s">
        <v>225</v>
      </c>
      <c r="G118" s="14" t="s">
        <v>13</v>
      </c>
      <c r="H118" s="1">
        <v>44253</v>
      </c>
      <c r="I118" s="14" t="s">
        <v>13</v>
      </c>
    </row>
    <row r="119" spans="1:9" x14ac:dyDescent="0.25">
      <c r="A119" s="14" t="s">
        <v>485</v>
      </c>
      <c r="B119" s="14" t="s">
        <v>192</v>
      </c>
      <c r="C119" s="14" t="s">
        <v>130</v>
      </c>
      <c r="D119" s="1">
        <v>34117</v>
      </c>
      <c r="E119" s="14" t="s">
        <v>30</v>
      </c>
      <c r="F119" s="14" t="s">
        <v>226</v>
      </c>
      <c r="G119" s="14" t="s">
        <v>77</v>
      </c>
      <c r="H119" s="1">
        <v>45052</v>
      </c>
      <c r="I119" s="14" t="s">
        <v>61</v>
      </c>
    </row>
    <row r="120" spans="1:9" x14ac:dyDescent="0.25">
      <c r="A120" s="14" t="s">
        <v>486</v>
      </c>
      <c r="B120" s="14" t="s">
        <v>177</v>
      </c>
      <c r="C120" s="14" t="s">
        <v>71</v>
      </c>
      <c r="D120" s="1">
        <v>37343</v>
      </c>
      <c r="E120" s="14" t="s">
        <v>30</v>
      </c>
      <c r="F120" s="14" t="s">
        <v>227</v>
      </c>
      <c r="G120" s="14" t="s">
        <v>65</v>
      </c>
      <c r="H120" s="1">
        <v>44242</v>
      </c>
      <c r="I120" s="14" t="s">
        <v>73</v>
      </c>
    </row>
    <row r="121" spans="1:9" x14ac:dyDescent="0.25">
      <c r="A121" s="14" t="s">
        <v>487</v>
      </c>
      <c r="B121" s="14" t="s">
        <v>52</v>
      </c>
      <c r="C121" s="14" t="s">
        <v>24</v>
      </c>
      <c r="D121" s="1">
        <v>37175</v>
      </c>
      <c r="E121" s="14" t="s">
        <v>10</v>
      </c>
      <c r="F121" s="14" t="s">
        <v>228</v>
      </c>
      <c r="G121" s="14" t="s">
        <v>13</v>
      </c>
      <c r="H121" s="1">
        <v>45127</v>
      </c>
      <c r="I121" s="14" t="s">
        <v>17</v>
      </c>
    </row>
    <row r="122" spans="1:9" x14ac:dyDescent="0.25">
      <c r="A122" s="14" t="s">
        <v>488</v>
      </c>
      <c r="B122" s="14" t="s">
        <v>23</v>
      </c>
      <c r="C122" s="14" t="s">
        <v>40</v>
      </c>
      <c r="D122" s="1">
        <v>38187</v>
      </c>
      <c r="E122" s="14" t="s">
        <v>10</v>
      </c>
      <c r="F122" s="14" t="s">
        <v>229</v>
      </c>
      <c r="G122" s="14" t="s">
        <v>47</v>
      </c>
      <c r="H122" s="1">
        <v>44670</v>
      </c>
      <c r="I122" s="14" t="s">
        <v>57</v>
      </c>
    </row>
    <row r="123" spans="1:9" x14ac:dyDescent="0.25">
      <c r="A123" s="14" t="s">
        <v>489</v>
      </c>
      <c r="B123" s="14" t="s">
        <v>122</v>
      </c>
      <c r="C123" s="14" t="s">
        <v>164</v>
      </c>
      <c r="D123" s="1">
        <v>37615</v>
      </c>
      <c r="E123" s="14" t="s">
        <v>10</v>
      </c>
      <c r="F123" s="14" t="s">
        <v>230</v>
      </c>
      <c r="G123" s="14" t="s">
        <v>51</v>
      </c>
      <c r="H123" s="1">
        <v>44889</v>
      </c>
      <c r="I123" s="14" t="s">
        <v>68</v>
      </c>
    </row>
    <row r="124" spans="1:9" x14ac:dyDescent="0.25">
      <c r="A124" s="14" t="s">
        <v>490</v>
      </c>
      <c r="B124" s="14" t="s">
        <v>231</v>
      </c>
      <c r="C124" s="14" t="s">
        <v>164</v>
      </c>
      <c r="D124" s="1">
        <v>34991</v>
      </c>
      <c r="E124" s="14" t="s">
        <v>30</v>
      </c>
      <c r="F124" s="14" t="s">
        <v>232</v>
      </c>
      <c r="G124" s="14" t="s">
        <v>51</v>
      </c>
      <c r="H124" s="1">
        <v>45191</v>
      </c>
      <c r="I124" s="14" t="s">
        <v>22</v>
      </c>
    </row>
    <row r="125" spans="1:9" x14ac:dyDescent="0.25">
      <c r="A125" s="14" t="s">
        <v>491</v>
      </c>
      <c r="B125" s="14" t="s">
        <v>122</v>
      </c>
      <c r="C125" s="14" t="s">
        <v>29</v>
      </c>
      <c r="D125" s="1">
        <v>34358</v>
      </c>
      <c r="E125" s="14" t="s">
        <v>10</v>
      </c>
      <c r="F125" s="14" t="s">
        <v>233</v>
      </c>
      <c r="G125" s="14" t="s">
        <v>94</v>
      </c>
      <c r="H125" s="1">
        <v>45166</v>
      </c>
      <c r="I125" s="14" t="s">
        <v>94</v>
      </c>
    </row>
    <row r="126" spans="1:9" x14ac:dyDescent="0.25">
      <c r="A126" s="14" t="s">
        <v>492</v>
      </c>
      <c r="B126" s="14" t="s">
        <v>69</v>
      </c>
      <c r="C126" s="14" t="s">
        <v>103</v>
      </c>
      <c r="D126" s="1">
        <v>35180</v>
      </c>
      <c r="E126" s="14" t="s">
        <v>30</v>
      </c>
      <c r="F126" s="14" t="s">
        <v>234</v>
      </c>
      <c r="G126" s="14" t="s">
        <v>46</v>
      </c>
      <c r="H126" s="1">
        <v>43978</v>
      </c>
      <c r="I126" s="14" t="s">
        <v>57</v>
      </c>
    </row>
    <row r="127" spans="1:9" x14ac:dyDescent="0.25">
      <c r="A127" s="14" t="s">
        <v>493</v>
      </c>
      <c r="B127" s="14" t="s">
        <v>177</v>
      </c>
      <c r="C127" s="14" t="s">
        <v>103</v>
      </c>
      <c r="D127" s="1">
        <v>35172</v>
      </c>
      <c r="E127" s="14" t="s">
        <v>30</v>
      </c>
      <c r="F127" s="14" t="s">
        <v>235</v>
      </c>
      <c r="G127" s="14" t="s">
        <v>22</v>
      </c>
      <c r="H127" s="1">
        <v>44249</v>
      </c>
      <c r="I127" s="14" t="s">
        <v>77</v>
      </c>
    </row>
    <row r="128" spans="1:9" x14ac:dyDescent="0.25">
      <c r="A128" s="14" t="s">
        <v>494</v>
      </c>
      <c r="B128" s="14" t="s">
        <v>122</v>
      </c>
      <c r="C128" s="14" t="s">
        <v>71</v>
      </c>
      <c r="D128" s="1">
        <v>36219</v>
      </c>
      <c r="E128" s="14" t="s">
        <v>10</v>
      </c>
      <c r="F128" s="14" t="s">
        <v>236</v>
      </c>
      <c r="G128" s="14" t="s">
        <v>68</v>
      </c>
      <c r="H128" s="1">
        <v>43997</v>
      </c>
      <c r="I128" s="14" t="s">
        <v>27</v>
      </c>
    </row>
    <row r="129" spans="1:9" x14ac:dyDescent="0.25">
      <c r="A129" s="14" t="s">
        <v>495</v>
      </c>
      <c r="B129" s="14" t="s">
        <v>112</v>
      </c>
      <c r="C129" s="14" t="s">
        <v>82</v>
      </c>
      <c r="D129" s="1">
        <v>36367</v>
      </c>
      <c r="E129" s="14" t="s">
        <v>30</v>
      </c>
      <c r="F129" s="14" t="s">
        <v>237</v>
      </c>
      <c r="G129" s="14" t="s">
        <v>57</v>
      </c>
      <c r="H129" s="1">
        <v>44022</v>
      </c>
      <c r="I129" s="14" t="s">
        <v>26</v>
      </c>
    </row>
    <row r="130" spans="1:9" x14ac:dyDescent="0.25">
      <c r="A130" s="14" t="s">
        <v>496</v>
      </c>
      <c r="B130" s="14" t="s">
        <v>74</v>
      </c>
      <c r="C130" s="14" t="s">
        <v>71</v>
      </c>
      <c r="D130" s="1">
        <v>33730</v>
      </c>
      <c r="E130" s="14" t="s">
        <v>30</v>
      </c>
      <c r="F130" s="14" t="s">
        <v>238</v>
      </c>
      <c r="G130" s="14" t="s">
        <v>77</v>
      </c>
      <c r="H130" s="1">
        <v>45147</v>
      </c>
      <c r="I130" s="14" t="s">
        <v>100</v>
      </c>
    </row>
    <row r="131" spans="1:9" x14ac:dyDescent="0.25">
      <c r="A131" s="14" t="s">
        <v>497</v>
      </c>
      <c r="B131" s="14" t="s">
        <v>129</v>
      </c>
      <c r="C131" s="14" t="s">
        <v>63</v>
      </c>
      <c r="D131" s="1">
        <v>35709</v>
      </c>
      <c r="E131" s="14" t="s">
        <v>30</v>
      </c>
      <c r="F131" s="14" t="s">
        <v>239</v>
      </c>
      <c r="G131" s="14" t="s">
        <v>13</v>
      </c>
      <c r="H131" s="1">
        <v>44540</v>
      </c>
      <c r="I131" s="14" t="s">
        <v>73</v>
      </c>
    </row>
    <row r="132" spans="1:9" x14ac:dyDescent="0.25">
      <c r="A132" s="14" t="s">
        <v>498</v>
      </c>
      <c r="B132" s="14" t="s">
        <v>171</v>
      </c>
      <c r="C132" s="14" t="s">
        <v>53</v>
      </c>
      <c r="D132" s="1">
        <v>34018</v>
      </c>
      <c r="E132" s="14" t="s">
        <v>30</v>
      </c>
      <c r="F132" s="14" t="s">
        <v>240</v>
      </c>
      <c r="G132" s="14" t="s">
        <v>73</v>
      </c>
      <c r="H132" s="1">
        <v>44123</v>
      </c>
      <c r="I132" s="14" t="s">
        <v>94</v>
      </c>
    </row>
    <row r="133" spans="1:9" x14ac:dyDescent="0.25">
      <c r="A133" s="14" t="s">
        <v>499</v>
      </c>
      <c r="B133" s="14" t="s">
        <v>114</v>
      </c>
      <c r="C133" s="14" t="s">
        <v>241</v>
      </c>
      <c r="D133" s="1">
        <v>33129</v>
      </c>
      <c r="E133" s="14" t="s">
        <v>10</v>
      </c>
      <c r="F133" s="14" t="s">
        <v>242</v>
      </c>
      <c r="G133" s="14" t="s">
        <v>73</v>
      </c>
      <c r="H133" s="1">
        <v>45202</v>
      </c>
      <c r="I133" s="14" t="s">
        <v>51</v>
      </c>
    </row>
    <row r="134" spans="1:9" x14ac:dyDescent="0.25">
      <c r="A134" s="14" t="s">
        <v>500</v>
      </c>
      <c r="B134" s="14" t="s">
        <v>148</v>
      </c>
      <c r="C134" s="14" t="s">
        <v>130</v>
      </c>
      <c r="D134" s="1">
        <v>36945</v>
      </c>
      <c r="E134" s="14" t="s">
        <v>30</v>
      </c>
      <c r="F134" s="14" t="s">
        <v>243</v>
      </c>
      <c r="G134" s="14" t="s">
        <v>42</v>
      </c>
      <c r="H134" s="1">
        <v>43956</v>
      </c>
      <c r="I134" s="14" t="s">
        <v>51</v>
      </c>
    </row>
    <row r="135" spans="1:9" x14ac:dyDescent="0.25">
      <c r="A135" s="14" t="s">
        <v>501</v>
      </c>
      <c r="B135" s="14" t="s">
        <v>14</v>
      </c>
      <c r="C135" s="14" t="s">
        <v>125</v>
      </c>
      <c r="D135" s="1">
        <v>35748</v>
      </c>
      <c r="E135" s="14" t="s">
        <v>10</v>
      </c>
      <c r="F135" s="14" t="s">
        <v>244</v>
      </c>
      <c r="G135" s="14" t="s">
        <v>12</v>
      </c>
      <c r="H135" s="1">
        <v>43831</v>
      </c>
      <c r="I135" s="14" t="s">
        <v>13</v>
      </c>
    </row>
    <row r="136" spans="1:9" x14ac:dyDescent="0.25">
      <c r="A136" s="14" t="s">
        <v>502</v>
      </c>
      <c r="B136" s="14" t="s">
        <v>110</v>
      </c>
      <c r="C136" s="14" t="s">
        <v>106</v>
      </c>
      <c r="D136" s="1">
        <v>34337</v>
      </c>
      <c r="E136" s="14" t="s">
        <v>30</v>
      </c>
      <c r="F136" s="14" t="s">
        <v>245</v>
      </c>
      <c r="G136" s="14" t="s">
        <v>89</v>
      </c>
      <c r="H136" s="1">
        <v>43852</v>
      </c>
      <c r="I136" s="14" t="s">
        <v>61</v>
      </c>
    </row>
    <row r="137" spans="1:9" x14ac:dyDescent="0.25">
      <c r="A137" s="14" t="s">
        <v>503</v>
      </c>
      <c r="B137" s="14" t="s">
        <v>231</v>
      </c>
      <c r="C137" s="14" t="s">
        <v>75</v>
      </c>
      <c r="D137" s="1">
        <v>37386</v>
      </c>
      <c r="E137" s="14" t="s">
        <v>30</v>
      </c>
      <c r="F137" s="14" t="s">
        <v>246</v>
      </c>
      <c r="G137" s="14" t="s">
        <v>22</v>
      </c>
      <c r="H137" s="1">
        <v>44465</v>
      </c>
      <c r="I137" s="14" t="s">
        <v>17</v>
      </c>
    </row>
    <row r="138" spans="1:9" x14ac:dyDescent="0.25">
      <c r="A138" s="14" t="s">
        <v>504</v>
      </c>
      <c r="B138" s="14" t="s">
        <v>58</v>
      </c>
      <c r="C138" s="14" t="s">
        <v>103</v>
      </c>
      <c r="D138" s="1">
        <v>33775</v>
      </c>
      <c r="E138" s="14" t="s">
        <v>30</v>
      </c>
      <c r="F138" s="14" t="s">
        <v>247</v>
      </c>
      <c r="G138" s="14" t="s">
        <v>17</v>
      </c>
      <c r="H138" s="1">
        <v>45184</v>
      </c>
      <c r="I138" s="14" t="s">
        <v>94</v>
      </c>
    </row>
    <row r="139" spans="1:9" x14ac:dyDescent="0.25">
      <c r="A139" s="14" t="s">
        <v>505</v>
      </c>
      <c r="B139" s="14" t="s">
        <v>58</v>
      </c>
      <c r="C139" s="14" t="s">
        <v>20</v>
      </c>
      <c r="D139" s="1">
        <v>37250</v>
      </c>
      <c r="E139" s="14" t="s">
        <v>30</v>
      </c>
      <c r="F139" s="14" t="s">
        <v>248</v>
      </c>
      <c r="G139" s="14" t="s">
        <v>78</v>
      </c>
      <c r="H139" s="1">
        <v>44035</v>
      </c>
      <c r="I139" s="14" t="s">
        <v>68</v>
      </c>
    </row>
    <row r="140" spans="1:9" x14ac:dyDescent="0.25">
      <c r="A140" s="14" t="s">
        <v>506</v>
      </c>
      <c r="B140" s="14" t="s">
        <v>138</v>
      </c>
      <c r="C140" s="14" t="s">
        <v>63</v>
      </c>
      <c r="D140" s="1">
        <v>35214</v>
      </c>
      <c r="E140" s="14" t="s">
        <v>30</v>
      </c>
      <c r="F140" s="14" t="s">
        <v>249</v>
      </c>
      <c r="G140" s="14" t="s">
        <v>17</v>
      </c>
      <c r="H140" s="1">
        <v>44638</v>
      </c>
      <c r="I140" s="14" t="s">
        <v>32</v>
      </c>
    </row>
    <row r="141" spans="1:9" x14ac:dyDescent="0.25">
      <c r="A141" s="14" t="s">
        <v>507</v>
      </c>
      <c r="B141" s="14" t="s">
        <v>84</v>
      </c>
      <c r="C141" s="14" t="s">
        <v>130</v>
      </c>
      <c r="D141" s="1">
        <v>34785</v>
      </c>
      <c r="E141" s="14" t="s">
        <v>30</v>
      </c>
      <c r="F141" s="14" t="s">
        <v>250</v>
      </c>
      <c r="G141" s="14" t="s">
        <v>13</v>
      </c>
      <c r="H141" s="1">
        <v>45025</v>
      </c>
      <c r="I141" s="14" t="s">
        <v>100</v>
      </c>
    </row>
    <row r="142" spans="1:9" x14ac:dyDescent="0.25">
      <c r="A142" s="14" t="s">
        <v>508</v>
      </c>
      <c r="B142" s="14" t="s">
        <v>81</v>
      </c>
      <c r="C142" s="14" t="s">
        <v>90</v>
      </c>
      <c r="D142" s="1">
        <v>38188</v>
      </c>
      <c r="E142" s="14" t="s">
        <v>10</v>
      </c>
      <c r="F142" s="14" t="s">
        <v>251</v>
      </c>
      <c r="G142" s="14" t="s">
        <v>12</v>
      </c>
      <c r="H142" s="1">
        <v>43886</v>
      </c>
      <c r="I142" s="14" t="s">
        <v>32</v>
      </c>
    </row>
    <row r="143" spans="1:9" x14ac:dyDescent="0.25">
      <c r="A143" s="14" t="s">
        <v>509</v>
      </c>
      <c r="B143" s="14" t="s">
        <v>138</v>
      </c>
      <c r="C143" s="14" t="s">
        <v>127</v>
      </c>
      <c r="D143" s="1">
        <v>37703</v>
      </c>
      <c r="E143" s="14" t="s">
        <v>30</v>
      </c>
      <c r="F143" s="14" t="s">
        <v>252</v>
      </c>
      <c r="G143" s="14" t="s">
        <v>57</v>
      </c>
      <c r="H143" s="1">
        <v>45122</v>
      </c>
      <c r="I143" s="14" t="s">
        <v>18</v>
      </c>
    </row>
    <row r="144" spans="1:9" x14ac:dyDescent="0.25">
      <c r="A144" s="14" t="s">
        <v>510</v>
      </c>
      <c r="B144" s="14" t="s">
        <v>231</v>
      </c>
      <c r="C144" s="14" t="s">
        <v>133</v>
      </c>
      <c r="D144" s="1">
        <v>35078</v>
      </c>
      <c r="E144" s="14" t="s">
        <v>30</v>
      </c>
      <c r="F144" s="14" t="s">
        <v>253</v>
      </c>
      <c r="G144" s="14" t="s">
        <v>27</v>
      </c>
      <c r="H144" s="1">
        <v>43980</v>
      </c>
      <c r="I144" s="14" t="s">
        <v>26</v>
      </c>
    </row>
    <row r="145" spans="1:9" x14ac:dyDescent="0.25">
      <c r="A145" s="14" t="s">
        <v>511</v>
      </c>
      <c r="B145" s="14" t="s">
        <v>108</v>
      </c>
      <c r="C145" s="14" t="s">
        <v>150</v>
      </c>
      <c r="D145" s="1">
        <v>33406</v>
      </c>
      <c r="E145" s="14" t="s">
        <v>10</v>
      </c>
      <c r="F145" s="14" t="s">
        <v>254</v>
      </c>
      <c r="G145" s="14" t="s">
        <v>77</v>
      </c>
      <c r="H145" s="1">
        <v>43976</v>
      </c>
      <c r="I145" s="14" t="s">
        <v>73</v>
      </c>
    </row>
    <row r="146" spans="1:9" x14ac:dyDescent="0.25">
      <c r="A146" s="14" t="s">
        <v>512</v>
      </c>
      <c r="B146" s="14" t="s">
        <v>167</v>
      </c>
      <c r="C146" s="14" t="s">
        <v>49</v>
      </c>
      <c r="D146" s="1">
        <v>37849</v>
      </c>
      <c r="E146" s="14" t="s">
        <v>10</v>
      </c>
      <c r="F146" s="14" t="s">
        <v>255</v>
      </c>
      <c r="G146" s="14" t="s">
        <v>17</v>
      </c>
      <c r="H146" s="1">
        <v>44395</v>
      </c>
      <c r="I146" s="14" t="s">
        <v>73</v>
      </c>
    </row>
    <row r="147" spans="1:9" x14ac:dyDescent="0.25">
      <c r="A147" s="14" t="s">
        <v>513</v>
      </c>
      <c r="B147" s="14" t="s">
        <v>19</v>
      </c>
      <c r="C147" s="14" t="s">
        <v>106</v>
      </c>
      <c r="D147" s="1">
        <v>33426</v>
      </c>
      <c r="E147" s="14" t="s">
        <v>10</v>
      </c>
      <c r="F147" s="14" t="s">
        <v>256</v>
      </c>
      <c r="G147" s="14" t="s">
        <v>22</v>
      </c>
      <c r="H147" s="1">
        <v>45189</v>
      </c>
      <c r="I147" s="14" t="s">
        <v>147</v>
      </c>
    </row>
    <row r="148" spans="1:9" x14ac:dyDescent="0.25">
      <c r="A148" s="14" t="s">
        <v>514</v>
      </c>
      <c r="B148" s="14" t="s">
        <v>74</v>
      </c>
      <c r="C148" s="14" t="s">
        <v>125</v>
      </c>
      <c r="D148" s="1">
        <v>34834</v>
      </c>
      <c r="E148" s="14" t="s">
        <v>30</v>
      </c>
      <c r="F148" s="14" t="s">
        <v>257</v>
      </c>
      <c r="G148" s="14" t="s">
        <v>78</v>
      </c>
      <c r="H148" s="1">
        <v>44858</v>
      </c>
      <c r="I148" s="14" t="s">
        <v>22</v>
      </c>
    </row>
    <row r="149" spans="1:9" x14ac:dyDescent="0.25">
      <c r="A149" s="14" t="s">
        <v>515</v>
      </c>
      <c r="B149" s="14" t="s">
        <v>129</v>
      </c>
      <c r="C149" s="14" t="s">
        <v>40</v>
      </c>
      <c r="D149" s="1">
        <v>35938</v>
      </c>
      <c r="E149" s="14" t="s">
        <v>30</v>
      </c>
      <c r="F149" s="14" t="s">
        <v>258</v>
      </c>
      <c r="G149" s="14" t="s">
        <v>147</v>
      </c>
      <c r="H149" s="1">
        <v>44638</v>
      </c>
      <c r="I149" s="14" t="s">
        <v>68</v>
      </c>
    </row>
    <row r="150" spans="1:9" x14ac:dyDescent="0.25">
      <c r="A150" s="14" t="s">
        <v>516</v>
      </c>
      <c r="B150" s="14" t="s">
        <v>55</v>
      </c>
      <c r="C150" s="14" t="s">
        <v>106</v>
      </c>
      <c r="D150" s="1">
        <v>34198</v>
      </c>
      <c r="E150" s="14" t="s">
        <v>10</v>
      </c>
      <c r="F150" s="14" t="s">
        <v>259</v>
      </c>
      <c r="G150" s="14" t="s">
        <v>18</v>
      </c>
      <c r="H150" s="1">
        <v>45035</v>
      </c>
      <c r="I150" s="14" t="s">
        <v>22</v>
      </c>
    </row>
    <row r="151" spans="1:9" x14ac:dyDescent="0.25">
      <c r="A151" s="14" t="s">
        <v>517</v>
      </c>
      <c r="B151" s="14" t="s">
        <v>108</v>
      </c>
      <c r="C151" s="14" t="s">
        <v>75</v>
      </c>
      <c r="D151" s="1">
        <v>36642</v>
      </c>
      <c r="E151" s="14" t="s">
        <v>10</v>
      </c>
      <c r="F151" s="14" t="s">
        <v>260</v>
      </c>
      <c r="G151" s="14" t="s">
        <v>38</v>
      </c>
      <c r="H151" s="1">
        <v>44959</v>
      </c>
      <c r="I151" s="14" t="s">
        <v>18</v>
      </c>
    </row>
    <row r="152" spans="1:9" x14ac:dyDescent="0.25">
      <c r="A152" s="14" t="s">
        <v>518</v>
      </c>
      <c r="B152" s="14" t="s">
        <v>261</v>
      </c>
      <c r="C152" s="14" t="s">
        <v>40</v>
      </c>
      <c r="D152" s="1">
        <v>34170</v>
      </c>
      <c r="E152" s="14" t="s">
        <v>10</v>
      </c>
      <c r="F152" s="14" t="s">
        <v>262</v>
      </c>
      <c r="G152" s="14" t="s">
        <v>147</v>
      </c>
      <c r="H152" s="1">
        <v>44054</v>
      </c>
      <c r="I152" s="14" t="s">
        <v>147</v>
      </c>
    </row>
    <row r="153" spans="1:9" x14ac:dyDescent="0.25">
      <c r="A153" s="14" t="s">
        <v>519</v>
      </c>
      <c r="B153" s="14" t="s">
        <v>23</v>
      </c>
      <c r="C153" s="14" t="s">
        <v>9</v>
      </c>
      <c r="D153" s="1">
        <v>35714</v>
      </c>
      <c r="E153" s="14" t="s">
        <v>10</v>
      </c>
      <c r="F153" s="14" t="s">
        <v>263</v>
      </c>
      <c r="G153" s="14" t="s">
        <v>65</v>
      </c>
      <c r="H153" s="1">
        <v>44926</v>
      </c>
      <c r="I153" s="14" t="s">
        <v>26</v>
      </c>
    </row>
    <row r="154" spans="1:9" x14ac:dyDescent="0.25">
      <c r="A154" s="14" t="s">
        <v>520</v>
      </c>
      <c r="B154" s="14" t="s">
        <v>81</v>
      </c>
      <c r="C154" s="14" t="s">
        <v>96</v>
      </c>
      <c r="D154" s="1">
        <v>35672</v>
      </c>
      <c r="E154" s="14" t="s">
        <v>10</v>
      </c>
      <c r="F154" s="14" t="s">
        <v>264</v>
      </c>
      <c r="G154" s="14" t="s">
        <v>46</v>
      </c>
      <c r="H154" s="1">
        <v>44991</v>
      </c>
      <c r="I154" s="14" t="s">
        <v>26</v>
      </c>
    </row>
    <row r="155" spans="1:9" x14ac:dyDescent="0.25">
      <c r="A155" s="14" t="s">
        <v>521</v>
      </c>
      <c r="B155" s="14" t="s">
        <v>14</v>
      </c>
      <c r="C155" s="14" t="s">
        <v>59</v>
      </c>
      <c r="D155" s="1">
        <v>35173</v>
      </c>
      <c r="E155" s="14" t="s">
        <v>10</v>
      </c>
      <c r="F155" s="14" t="s">
        <v>265</v>
      </c>
      <c r="G155" s="14" t="s">
        <v>65</v>
      </c>
      <c r="H155" s="1">
        <v>44288</v>
      </c>
      <c r="I155" s="14" t="s">
        <v>42</v>
      </c>
    </row>
    <row r="156" spans="1:9" x14ac:dyDescent="0.25">
      <c r="A156" s="14" t="s">
        <v>522</v>
      </c>
      <c r="B156" s="14" t="s">
        <v>195</v>
      </c>
      <c r="C156" s="14" t="s">
        <v>150</v>
      </c>
      <c r="D156" s="1">
        <v>37325</v>
      </c>
      <c r="E156" s="14" t="s">
        <v>10</v>
      </c>
      <c r="F156" s="14" t="s">
        <v>266</v>
      </c>
      <c r="G156" s="14" t="s">
        <v>147</v>
      </c>
      <c r="H156" s="1">
        <v>44583</v>
      </c>
      <c r="I156" s="14" t="s">
        <v>89</v>
      </c>
    </row>
    <row r="157" spans="1:9" x14ac:dyDescent="0.25">
      <c r="A157" s="14" t="s">
        <v>523</v>
      </c>
      <c r="B157" s="14" t="s">
        <v>122</v>
      </c>
      <c r="C157" s="14" t="s">
        <v>106</v>
      </c>
      <c r="D157" s="1">
        <v>33178</v>
      </c>
      <c r="E157" s="14" t="s">
        <v>10</v>
      </c>
      <c r="F157" s="14" t="s">
        <v>267</v>
      </c>
      <c r="G157" s="14" t="s">
        <v>32</v>
      </c>
      <c r="H157" s="1">
        <v>45145</v>
      </c>
      <c r="I157" s="14" t="s">
        <v>42</v>
      </c>
    </row>
    <row r="158" spans="1:9" x14ac:dyDescent="0.25">
      <c r="A158" s="14" t="s">
        <v>524</v>
      </c>
      <c r="B158" s="14" t="s">
        <v>138</v>
      </c>
      <c r="C158" s="14" t="s">
        <v>96</v>
      </c>
      <c r="D158" s="1">
        <v>35404</v>
      </c>
      <c r="E158" s="14" t="s">
        <v>30</v>
      </c>
      <c r="F158" s="14" t="s">
        <v>268</v>
      </c>
      <c r="G158" s="14" t="s">
        <v>65</v>
      </c>
      <c r="H158" s="1">
        <v>44525</v>
      </c>
      <c r="I158" s="14" t="s">
        <v>147</v>
      </c>
    </row>
    <row r="159" spans="1:9" x14ac:dyDescent="0.25">
      <c r="A159" s="14" t="s">
        <v>525</v>
      </c>
      <c r="B159" s="14" t="s">
        <v>43</v>
      </c>
      <c r="C159" s="14" t="s">
        <v>130</v>
      </c>
      <c r="D159" s="1">
        <v>34589</v>
      </c>
      <c r="E159" s="14" t="s">
        <v>10</v>
      </c>
      <c r="F159" s="14" t="s">
        <v>269</v>
      </c>
      <c r="G159" s="14" t="s">
        <v>46</v>
      </c>
      <c r="H159" s="1">
        <v>44680</v>
      </c>
      <c r="I159" s="14" t="s">
        <v>32</v>
      </c>
    </row>
    <row r="160" spans="1:9" x14ac:dyDescent="0.25">
      <c r="A160" s="14" t="s">
        <v>526</v>
      </c>
      <c r="B160" s="14" t="s">
        <v>84</v>
      </c>
      <c r="C160" s="14" t="s">
        <v>96</v>
      </c>
      <c r="D160" s="1">
        <v>36445</v>
      </c>
      <c r="E160" s="14" t="s">
        <v>30</v>
      </c>
      <c r="F160" s="14" t="s">
        <v>270</v>
      </c>
      <c r="G160" s="14" t="s">
        <v>78</v>
      </c>
      <c r="H160" s="1">
        <v>44611</v>
      </c>
      <c r="I160" s="14" t="s">
        <v>57</v>
      </c>
    </row>
    <row r="161" spans="1:9" x14ac:dyDescent="0.25">
      <c r="A161" s="14" t="s">
        <v>527</v>
      </c>
      <c r="B161" s="14" t="s">
        <v>122</v>
      </c>
      <c r="C161" s="14" t="s">
        <v>53</v>
      </c>
      <c r="D161" s="1">
        <v>34892</v>
      </c>
      <c r="E161" s="14" t="s">
        <v>10</v>
      </c>
      <c r="F161" s="14" t="s">
        <v>271</v>
      </c>
      <c r="G161" s="14" t="s">
        <v>78</v>
      </c>
      <c r="H161" s="1">
        <v>44222</v>
      </c>
      <c r="I161" s="14" t="s">
        <v>94</v>
      </c>
    </row>
    <row r="162" spans="1:9" x14ac:dyDescent="0.25">
      <c r="A162" s="14" t="s">
        <v>528</v>
      </c>
      <c r="B162" s="14" t="s">
        <v>112</v>
      </c>
      <c r="C162" s="14" t="s">
        <v>150</v>
      </c>
      <c r="D162" s="1">
        <v>34292</v>
      </c>
      <c r="E162" s="14" t="s">
        <v>30</v>
      </c>
      <c r="F162" s="14" t="s">
        <v>272</v>
      </c>
      <c r="G162" s="14" t="s">
        <v>73</v>
      </c>
      <c r="H162" s="1">
        <v>44093</v>
      </c>
      <c r="I162" s="14" t="s">
        <v>18</v>
      </c>
    </row>
    <row r="163" spans="1:9" x14ac:dyDescent="0.25">
      <c r="A163" s="14" t="s">
        <v>529</v>
      </c>
      <c r="B163" s="14" t="s">
        <v>143</v>
      </c>
      <c r="C163" s="14" t="s">
        <v>161</v>
      </c>
      <c r="D163" s="1">
        <v>36785</v>
      </c>
      <c r="E163" s="14" t="s">
        <v>30</v>
      </c>
      <c r="F163" s="14" t="s">
        <v>273</v>
      </c>
      <c r="G163" s="14" t="s">
        <v>89</v>
      </c>
      <c r="H163" s="1">
        <v>45140</v>
      </c>
      <c r="I163" s="14" t="s">
        <v>77</v>
      </c>
    </row>
    <row r="164" spans="1:9" x14ac:dyDescent="0.25">
      <c r="A164" s="14" t="s">
        <v>530</v>
      </c>
      <c r="B164" s="14" t="s">
        <v>108</v>
      </c>
      <c r="C164" s="14" t="s">
        <v>96</v>
      </c>
      <c r="D164" s="1">
        <v>37756</v>
      </c>
      <c r="E164" s="14" t="s">
        <v>10</v>
      </c>
      <c r="F164" s="14" t="s">
        <v>274</v>
      </c>
      <c r="G164" s="14" t="s">
        <v>57</v>
      </c>
      <c r="H164" s="1">
        <v>44249</v>
      </c>
      <c r="I164" s="14" t="s">
        <v>100</v>
      </c>
    </row>
    <row r="165" spans="1:9" x14ac:dyDescent="0.25">
      <c r="A165" s="14" t="s">
        <v>531</v>
      </c>
      <c r="B165" s="14" t="s">
        <v>112</v>
      </c>
      <c r="C165" s="14" t="s">
        <v>15</v>
      </c>
      <c r="D165" s="1">
        <v>35395</v>
      </c>
      <c r="E165" s="14" t="s">
        <v>30</v>
      </c>
      <c r="F165" s="14" t="s">
        <v>275</v>
      </c>
      <c r="G165" s="14" t="s">
        <v>26</v>
      </c>
      <c r="H165" s="1">
        <v>44245</v>
      </c>
      <c r="I165" s="14" t="s">
        <v>73</v>
      </c>
    </row>
    <row r="166" spans="1:9" x14ac:dyDescent="0.25">
      <c r="A166" s="14" t="s">
        <v>532</v>
      </c>
      <c r="B166" s="14" t="s">
        <v>69</v>
      </c>
      <c r="C166" s="14" t="s">
        <v>164</v>
      </c>
      <c r="D166" s="1">
        <v>34784</v>
      </c>
      <c r="E166" s="14" t="s">
        <v>30</v>
      </c>
      <c r="F166" s="14" t="s">
        <v>276</v>
      </c>
      <c r="G166" s="14" t="s">
        <v>65</v>
      </c>
      <c r="H166" s="1">
        <v>44873</v>
      </c>
      <c r="I166" s="14" t="s">
        <v>13</v>
      </c>
    </row>
    <row r="167" spans="1:9" x14ac:dyDescent="0.25">
      <c r="A167" s="14" t="s">
        <v>533</v>
      </c>
      <c r="B167" s="14" t="s">
        <v>39</v>
      </c>
      <c r="C167" s="14" t="s">
        <v>277</v>
      </c>
      <c r="D167" s="1">
        <v>37530</v>
      </c>
      <c r="E167" s="14" t="s">
        <v>30</v>
      </c>
      <c r="F167" s="14" t="s">
        <v>278</v>
      </c>
      <c r="G167" s="14" t="s">
        <v>46</v>
      </c>
      <c r="H167" s="1">
        <v>44091</v>
      </c>
      <c r="I167" s="14" t="s">
        <v>89</v>
      </c>
    </row>
    <row r="168" spans="1:9" x14ac:dyDescent="0.25">
      <c r="A168" s="14" t="s">
        <v>534</v>
      </c>
      <c r="B168" s="14" t="s">
        <v>195</v>
      </c>
      <c r="C168" s="14" t="s">
        <v>71</v>
      </c>
      <c r="D168" s="1">
        <v>34471</v>
      </c>
      <c r="E168" s="14" t="s">
        <v>10</v>
      </c>
      <c r="F168" s="14" t="s">
        <v>279</v>
      </c>
      <c r="G168" s="14" t="s">
        <v>42</v>
      </c>
      <c r="H168" s="1">
        <v>43905</v>
      </c>
      <c r="I168" s="14" t="s">
        <v>12</v>
      </c>
    </row>
    <row r="169" spans="1:9" x14ac:dyDescent="0.25">
      <c r="A169" s="14" t="s">
        <v>535</v>
      </c>
      <c r="B169" s="14" t="s">
        <v>148</v>
      </c>
      <c r="C169" s="14" t="s">
        <v>63</v>
      </c>
      <c r="D169" s="1">
        <v>33119</v>
      </c>
      <c r="E169" s="14" t="s">
        <v>30</v>
      </c>
      <c r="F169" s="14" t="s">
        <v>280</v>
      </c>
      <c r="G169" s="14" t="s">
        <v>42</v>
      </c>
      <c r="H169" s="1">
        <v>44893</v>
      </c>
      <c r="I169" s="14" t="s">
        <v>78</v>
      </c>
    </row>
    <row r="170" spans="1:9" x14ac:dyDescent="0.25">
      <c r="A170" s="14" t="s">
        <v>536</v>
      </c>
      <c r="B170" s="14" t="s">
        <v>58</v>
      </c>
      <c r="C170" s="14" t="s">
        <v>164</v>
      </c>
      <c r="D170" s="1">
        <v>37807</v>
      </c>
      <c r="E170" s="14" t="s">
        <v>30</v>
      </c>
      <c r="F170" s="14" t="s">
        <v>281</v>
      </c>
      <c r="G170" s="14" t="s">
        <v>77</v>
      </c>
      <c r="H170" s="1">
        <v>44221</v>
      </c>
      <c r="I170" s="14" t="s">
        <v>46</v>
      </c>
    </row>
    <row r="171" spans="1:9" x14ac:dyDescent="0.25">
      <c r="A171" s="14" t="s">
        <v>537</v>
      </c>
      <c r="B171" s="14" t="s">
        <v>92</v>
      </c>
      <c r="C171" s="14" t="s">
        <v>9</v>
      </c>
      <c r="D171" s="1">
        <v>33052</v>
      </c>
      <c r="E171" s="14" t="s">
        <v>10</v>
      </c>
      <c r="F171" s="14" t="s">
        <v>282</v>
      </c>
      <c r="G171" s="14" t="s">
        <v>17</v>
      </c>
      <c r="H171" s="1">
        <v>44123</v>
      </c>
      <c r="I171" s="14" t="s">
        <v>27</v>
      </c>
    </row>
    <row r="172" spans="1:9" x14ac:dyDescent="0.25">
      <c r="A172" s="14" t="s">
        <v>538</v>
      </c>
      <c r="B172" s="14" t="s">
        <v>23</v>
      </c>
      <c r="C172" s="14" t="s">
        <v>96</v>
      </c>
      <c r="D172" s="1">
        <v>36822</v>
      </c>
      <c r="E172" s="14" t="s">
        <v>10</v>
      </c>
      <c r="F172" s="14" t="s">
        <v>283</v>
      </c>
      <c r="G172" s="14" t="s">
        <v>51</v>
      </c>
      <c r="H172" s="1">
        <v>44943</v>
      </c>
      <c r="I172" s="14" t="s">
        <v>73</v>
      </c>
    </row>
    <row r="173" spans="1:9" x14ac:dyDescent="0.25">
      <c r="A173" s="14" t="s">
        <v>539</v>
      </c>
      <c r="B173" s="14" t="s">
        <v>136</v>
      </c>
      <c r="C173" s="14" t="s">
        <v>90</v>
      </c>
      <c r="D173" s="1">
        <v>37193</v>
      </c>
      <c r="E173" s="14" t="s">
        <v>30</v>
      </c>
      <c r="F173" s="14" t="s">
        <v>284</v>
      </c>
      <c r="G173" s="14" t="s">
        <v>65</v>
      </c>
      <c r="H173" s="1">
        <v>44210</v>
      </c>
      <c r="I173" s="14" t="s">
        <v>26</v>
      </c>
    </row>
    <row r="174" spans="1:9" x14ac:dyDescent="0.25">
      <c r="A174" s="14" t="s">
        <v>540</v>
      </c>
      <c r="B174" s="14" t="s">
        <v>110</v>
      </c>
      <c r="C174" s="14" t="s">
        <v>161</v>
      </c>
      <c r="D174" s="1">
        <v>37776</v>
      </c>
      <c r="E174" s="14" t="s">
        <v>30</v>
      </c>
      <c r="F174" s="14" t="s">
        <v>285</v>
      </c>
      <c r="G174" s="14" t="s">
        <v>27</v>
      </c>
      <c r="H174" s="1">
        <v>44386</v>
      </c>
      <c r="I174" s="14" t="s">
        <v>78</v>
      </c>
    </row>
    <row r="175" spans="1:9" x14ac:dyDescent="0.25">
      <c r="A175" s="14" t="s">
        <v>541</v>
      </c>
      <c r="B175" s="14" t="s">
        <v>58</v>
      </c>
      <c r="C175" s="14" t="s">
        <v>125</v>
      </c>
      <c r="D175" s="1">
        <v>34764</v>
      </c>
      <c r="E175" s="14" t="s">
        <v>30</v>
      </c>
      <c r="F175" s="14" t="s">
        <v>286</v>
      </c>
      <c r="G175" s="14" t="s">
        <v>26</v>
      </c>
      <c r="H175" s="1">
        <v>44982</v>
      </c>
      <c r="I175" s="14" t="s">
        <v>38</v>
      </c>
    </row>
    <row r="176" spans="1:9" x14ac:dyDescent="0.25">
      <c r="A176" s="14" t="s">
        <v>542</v>
      </c>
      <c r="B176" s="14" t="s">
        <v>136</v>
      </c>
      <c r="C176" s="14" t="s">
        <v>96</v>
      </c>
      <c r="D176" s="1">
        <v>37229</v>
      </c>
      <c r="E176" s="14" t="s">
        <v>30</v>
      </c>
      <c r="F176" s="14" t="s">
        <v>287</v>
      </c>
      <c r="G176" s="14" t="s">
        <v>13</v>
      </c>
      <c r="H176" s="1">
        <v>43880</v>
      </c>
      <c r="I176" s="14" t="s">
        <v>51</v>
      </c>
    </row>
    <row r="177" spans="1:9" x14ac:dyDescent="0.25">
      <c r="A177" s="14" t="s">
        <v>543</v>
      </c>
      <c r="B177" s="14" t="s">
        <v>33</v>
      </c>
      <c r="C177" s="14" t="s">
        <v>125</v>
      </c>
      <c r="D177" s="1">
        <v>34851</v>
      </c>
      <c r="E177" s="14" t="s">
        <v>30</v>
      </c>
      <c r="F177" s="14" t="s">
        <v>288</v>
      </c>
      <c r="G177" s="14" t="s">
        <v>38</v>
      </c>
      <c r="H177" s="1">
        <v>45024</v>
      </c>
      <c r="I177" s="14" t="s">
        <v>18</v>
      </c>
    </row>
    <row r="178" spans="1:9" x14ac:dyDescent="0.25">
      <c r="A178" s="14" t="s">
        <v>544</v>
      </c>
      <c r="B178" s="14" t="s">
        <v>79</v>
      </c>
      <c r="C178" s="14" t="s">
        <v>24</v>
      </c>
      <c r="D178" s="1">
        <v>35403</v>
      </c>
      <c r="E178" s="14" t="s">
        <v>30</v>
      </c>
      <c r="F178" s="14" t="s">
        <v>289</v>
      </c>
      <c r="G178" s="14" t="s">
        <v>94</v>
      </c>
      <c r="H178" s="1">
        <v>44172</v>
      </c>
      <c r="I178" s="14" t="s">
        <v>77</v>
      </c>
    </row>
    <row r="179" spans="1:9" x14ac:dyDescent="0.25">
      <c r="A179" s="14" t="s">
        <v>545</v>
      </c>
      <c r="B179" s="14" t="s">
        <v>138</v>
      </c>
      <c r="C179" s="14" t="s">
        <v>49</v>
      </c>
      <c r="D179" s="1">
        <v>37350</v>
      </c>
      <c r="E179" s="14" t="s">
        <v>30</v>
      </c>
      <c r="F179" s="14" t="s">
        <v>290</v>
      </c>
      <c r="G179" s="14" t="s">
        <v>57</v>
      </c>
      <c r="H179" s="1">
        <v>44749</v>
      </c>
      <c r="I179" s="14" t="s">
        <v>94</v>
      </c>
    </row>
    <row r="180" spans="1:9" x14ac:dyDescent="0.25">
      <c r="A180" s="14" t="s">
        <v>546</v>
      </c>
      <c r="B180" s="14" t="s">
        <v>23</v>
      </c>
      <c r="C180" s="14" t="s">
        <v>161</v>
      </c>
      <c r="D180" s="1">
        <v>36160</v>
      </c>
      <c r="E180" s="14" t="s">
        <v>10</v>
      </c>
      <c r="F180" s="14" t="s">
        <v>291</v>
      </c>
      <c r="G180" s="14" t="s">
        <v>17</v>
      </c>
      <c r="H180" s="1">
        <v>45032</v>
      </c>
      <c r="I180" s="14" t="s">
        <v>27</v>
      </c>
    </row>
    <row r="181" spans="1:9" x14ac:dyDescent="0.25">
      <c r="A181" s="14" t="s">
        <v>547</v>
      </c>
      <c r="B181" s="14" t="s">
        <v>129</v>
      </c>
      <c r="C181" s="14" t="s">
        <v>161</v>
      </c>
      <c r="D181" s="1">
        <v>37422</v>
      </c>
      <c r="E181" s="14" t="s">
        <v>30</v>
      </c>
      <c r="F181" s="14" t="s">
        <v>292</v>
      </c>
      <c r="G181" s="14" t="s">
        <v>68</v>
      </c>
      <c r="H181" s="1">
        <v>44666</v>
      </c>
      <c r="I181" s="14" t="s">
        <v>147</v>
      </c>
    </row>
    <row r="182" spans="1:9" x14ac:dyDescent="0.25">
      <c r="A182" s="14" t="s">
        <v>548</v>
      </c>
      <c r="B182" s="14" t="s">
        <v>74</v>
      </c>
      <c r="C182" s="14" t="s">
        <v>277</v>
      </c>
      <c r="D182" s="1">
        <v>34104</v>
      </c>
      <c r="E182" s="14" t="s">
        <v>30</v>
      </c>
      <c r="F182" s="14" t="s">
        <v>293</v>
      </c>
      <c r="G182" s="14" t="s">
        <v>73</v>
      </c>
      <c r="H182" s="1">
        <v>44434</v>
      </c>
      <c r="I182" s="14" t="s">
        <v>26</v>
      </c>
    </row>
    <row r="183" spans="1:9" x14ac:dyDescent="0.25">
      <c r="A183" s="14" t="s">
        <v>549</v>
      </c>
      <c r="B183" s="14" t="s">
        <v>122</v>
      </c>
      <c r="C183" s="14" t="s">
        <v>63</v>
      </c>
      <c r="D183" s="1">
        <v>33398</v>
      </c>
      <c r="E183" s="14" t="s">
        <v>10</v>
      </c>
      <c r="F183" s="14" t="s">
        <v>294</v>
      </c>
      <c r="G183" s="14" t="s">
        <v>47</v>
      </c>
      <c r="H183" s="1">
        <v>44576</v>
      </c>
      <c r="I183" s="14" t="s">
        <v>22</v>
      </c>
    </row>
    <row r="184" spans="1:9" x14ac:dyDescent="0.25">
      <c r="A184" s="14" t="s">
        <v>550</v>
      </c>
      <c r="B184" s="14" t="s">
        <v>192</v>
      </c>
      <c r="C184" s="14" t="s">
        <v>277</v>
      </c>
      <c r="D184" s="1">
        <v>37726</v>
      </c>
      <c r="E184" s="14" t="s">
        <v>30</v>
      </c>
      <c r="F184" s="14" t="s">
        <v>295</v>
      </c>
      <c r="G184" s="14" t="s">
        <v>42</v>
      </c>
      <c r="H184" s="1">
        <v>44781</v>
      </c>
      <c r="I184" s="14" t="s">
        <v>94</v>
      </c>
    </row>
    <row r="185" spans="1:9" x14ac:dyDescent="0.25">
      <c r="A185" s="14" t="s">
        <v>551</v>
      </c>
      <c r="B185" s="14" t="s">
        <v>98</v>
      </c>
      <c r="C185" s="14" t="s">
        <v>103</v>
      </c>
      <c r="D185" s="1">
        <v>35586</v>
      </c>
      <c r="E185" s="14" t="s">
        <v>30</v>
      </c>
      <c r="F185" s="14" t="s">
        <v>296</v>
      </c>
      <c r="G185" s="14" t="s">
        <v>13</v>
      </c>
      <c r="H185" s="1">
        <v>44282</v>
      </c>
      <c r="I185" s="14" t="s">
        <v>73</v>
      </c>
    </row>
    <row r="186" spans="1:9" x14ac:dyDescent="0.25">
      <c r="A186" s="14" t="s">
        <v>552</v>
      </c>
      <c r="B186" s="14" t="s">
        <v>8</v>
      </c>
      <c r="C186" s="14" t="s">
        <v>106</v>
      </c>
      <c r="D186" s="1">
        <v>34840</v>
      </c>
      <c r="E186" s="14" t="s">
        <v>10</v>
      </c>
      <c r="F186" s="14" t="s">
        <v>297</v>
      </c>
      <c r="G186" s="14" t="s">
        <v>13</v>
      </c>
      <c r="H186" s="1">
        <v>44268</v>
      </c>
      <c r="I186" s="14" t="s">
        <v>78</v>
      </c>
    </row>
    <row r="187" spans="1:9" x14ac:dyDescent="0.25">
      <c r="A187" s="14" t="s">
        <v>553</v>
      </c>
      <c r="B187" s="14" t="s">
        <v>148</v>
      </c>
      <c r="C187" s="14" t="s">
        <v>49</v>
      </c>
      <c r="D187" s="1">
        <v>37547</v>
      </c>
      <c r="E187" s="14" t="s">
        <v>30</v>
      </c>
      <c r="F187" s="14" t="s">
        <v>298</v>
      </c>
      <c r="G187" s="14" t="s">
        <v>46</v>
      </c>
      <c r="H187" s="1">
        <v>44136</v>
      </c>
      <c r="I187" s="14" t="s">
        <v>46</v>
      </c>
    </row>
    <row r="188" spans="1:9" x14ac:dyDescent="0.25">
      <c r="A188" s="14" t="s">
        <v>554</v>
      </c>
      <c r="B188" s="14" t="s">
        <v>19</v>
      </c>
      <c r="C188" s="14" t="s">
        <v>90</v>
      </c>
      <c r="D188" s="1">
        <v>33172</v>
      </c>
      <c r="E188" s="14" t="s">
        <v>10</v>
      </c>
      <c r="F188" s="14" t="s">
        <v>299</v>
      </c>
      <c r="G188" s="14" t="s">
        <v>100</v>
      </c>
      <c r="H188" s="1">
        <v>45202</v>
      </c>
      <c r="I188" s="14" t="s">
        <v>17</v>
      </c>
    </row>
    <row r="189" spans="1:9" x14ac:dyDescent="0.25">
      <c r="A189" s="14" t="s">
        <v>555</v>
      </c>
      <c r="B189" s="14" t="s">
        <v>84</v>
      </c>
      <c r="C189" s="14" t="s">
        <v>20</v>
      </c>
      <c r="D189" s="1">
        <v>35153</v>
      </c>
      <c r="E189" s="14" t="s">
        <v>30</v>
      </c>
      <c r="F189" s="14" t="s">
        <v>300</v>
      </c>
      <c r="G189" s="14" t="s">
        <v>13</v>
      </c>
      <c r="H189" s="1">
        <v>45027</v>
      </c>
      <c r="I189" s="14" t="s">
        <v>38</v>
      </c>
    </row>
    <row r="190" spans="1:9" x14ac:dyDescent="0.25">
      <c r="A190" s="14" t="s">
        <v>556</v>
      </c>
      <c r="B190" s="14" t="s">
        <v>92</v>
      </c>
      <c r="C190" s="14" t="s">
        <v>71</v>
      </c>
      <c r="D190" s="1">
        <v>33587</v>
      </c>
      <c r="E190" s="14" t="s">
        <v>10</v>
      </c>
      <c r="F190" s="14" t="s">
        <v>301</v>
      </c>
      <c r="G190" s="14" t="s">
        <v>26</v>
      </c>
      <c r="H190" s="1">
        <v>45041</v>
      </c>
      <c r="I190" s="14" t="s">
        <v>38</v>
      </c>
    </row>
    <row r="191" spans="1:9" x14ac:dyDescent="0.25">
      <c r="A191" s="14" t="s">
        <v>557</v>
      </c>
      <c r="B191" s="14" t="s">
        <v>92</v>
      </c>
      <c r="C191" s="14" t="s">
        <v>44</v>
      </c>
      <c r="D191" s="1">
        <v>37914</v>
      </c>
      <c r="E191" s="14" t="s">
        <v>10</v>
      </c>
      <c r="F191" s="14" t="s">
        <v>302</v>
      </c>
      <c r="G191" s="14" t="s">
        <v>22</v>
      </c>
      <c r="H191" s="1">
        <v>44709</v>
      </c>
      <c r="I191" s="14" t="s">
        <v>47</v>
      </c>
    </row>
    <row r="192" spans="1:9" x14ac:dyDescent="0.25">
      <c r="A192" s="14" t="s">
        <v>558</v>
      </c>
      <c r="B192" s="14" t="s">
        <v>95</v>
      </c>
      <c r="C192" s="14" t="s">
        <v>127</v>
      </c>
      <c r="D192" s="1">
        <v>38240</v>
      </c>
      <c r="E192" s="14" t="s">
        <v>30</v>
      </c>
      <c r="F192" s="14" t="s">
        <v>303</v>
      </c>
      <c r="G192" s="14" t="s">
        <v>46</v>
      </c>
      <c r="H192" s="1">
        <v>44210</v>
      </c>
      <c r="I192" s="14" t="s">
        <v>100</v>
      </c>
    </row>
    <row r="193" spans="1:9" x14ac:dyDescent="0.25">
      <c r="A193" s="14" t="s">
        <v>559</v>
      </c>
      <c r="B193" s="14" t="s">
        <v>171</v>
      </c>
      <c r="C193" s="14" t="s">
        <v>164</v>
      </c>
      <c r="D193" s="1">
        <v>33577</v>
      </c>
      <c r="E193" s="14" t="s">
        <v>30</v>
      </c>
      <c r="F193" s="14" t="s">
        <v>304</v>
      </c>
      <c r="G193" s="14" t="s">
        <v>12</v>
      </c>
      <c r="H193" s="1">
        <v>44981</v>
      </c>
      <c r="I193" s="14" t="s">
        <v>18</v>
      </c>
    </row>
    <row r="194" spans="1:9" x14ac:dyDescent="0.25">
      <c r="A194" s="14" t="s">
        <v>560</v>
      </c>
      <c r="B194" s="14" t="s">
        <v>122</v>
      </c>
      <c r="C194" s="14" t="s">
        <v>44</v>
      </c>
      <c r="D194" s="1">
        <v>36154</v>
      </c>
      <c r="E194" s="14" t="s">
        <v>10</v>
      </c>
      <c r="F194" s="14" t="s">
        <v>305</v>
      </c>
      <c r="G194" s="14" t="s">
        <v>100</v>
      </c>
      <c r="H194" s="1">
        <v>45184</v>
      </c>
      <c r="I194" s="14" t="s">
        <v>38</v>
      </c>
    </row>
    <row r="195" spans="1:9" x14ac:dyDescent="0.25">
      <c r="A195" s="14" t="s">
        <v>561</v>
      </c>
      <c r="B195" s="14" t="s">
        <v>199</v>
      </c>
      <c r="C195" s="14" t="s">
        <v>90</v>
      </c>
      <c r="D195" s="1">
        <v>36974</v>
      </c>
      <c r="E195" s="14" t="s">
        <v>10</v>
      </c>
      <c r="F195" s="14" t="s">
        <v>306</v>
      </c>
      <c r="G195" s="14" t="s">
        <v>89</v>
      </c>
      <c r="H195" s="1">
        <v>44150</v>
      </c>
      <c r="I195" s="14" t="s">
        <v>94</v>
      </c>
    </row>
    <row r="196" spans="1:9" x14ac:dyDescent="0.25">
      <c r="A196" s="14" t="s">
        <v>562</v>
      </c>
      <c r="B196" s="14" t="s">
        <v>120</v>
      </c>
      <c r="C196" s="14" t="s">
        <v>130</v>
      </c>
      <c r="D196" s="1">
        <v>34236</v>
      </c>
      <c r="E196" s="14" t="s">
        <v>30</v>
      </c>
      <c r="F196" s="14" t="s">
        <v>307</v>
      </c>
      <c r="G196" s="14" t="s">
        <v>57</v>
      </c>
      <c r="H196" s="1">
        <v>44653</v>
      </c>
      <c r="I196" s="14" t="s">
        <v>73</v>
      </c>
    </row>
    <row r="197" spans="1:9" x14ac:dyDescent="0.25">
      <c r="A197" s="14" t="s">
        <v>563</v>
      </c>
      <c r="B197" s="14" t="s">
        <v>81</v>
      </c>
      <c r="C197" s="14" t="s">
        <v>133</v>
      </c>
      <c r="D197" s="1">
        <v>34898</v>
      </c>
      <c r="E197" s="14" t="s">
        <v>10</v>
      </c>
      <c r="F197" s="14" t="s">
        <v>308</v>
      </c>
      <c r="G197" s="14" t="s">
        <v>77</v>
      </c>
      <c r="H197" s="1">
        <v>45152</v>
      </c>
      <c r="I197" s="14" t="s">
        <v>46</v>
      </c>
    </row>
    <row r="198" spans="1:9" x14ac:dyDescent="0.25">
      <c r="A198" s="14" t="s">
        <v>564</v>
      </c>
      <c r="B198" s="14" t="s">
        <v>62</v>
      </c>
      <c r="C198" s="14" t="s">
        <v>164</v>
      </c>
      <c r="D198" s="1">
        <v>33547</v>
      </c>
      <c r="E198" s="14" t="s">
        <v>10</v>
      </c>
      <c r="F198" s="14" t="s">
        <v>309</v>
      </c>
      <c r="G198" s="14" t="s">
        <v>77</v>
      </c>
      <c r="H198" s="1">
        <v>44448</v>
      </c>
      <c r="I198" s="14" t="s">
        <v>78</v>
      </c>
    </row>
    <row r="199" spans="1:9" x14ac:dyDescent="0.25">
      <c r="A199" s="14" t="s">
        <v>565</v>
      </c>
      <c r="B199" s="14" t="s">
        <v>112</v>
      </c>
      <c r="C199" s="14" t="s">
        <v>59</v>
      </c>
      <c r="D199" s="1">
        <v>36948</v>
      </c>
      <c r="E199" s="14" t="s">
        <v>30</v>
      </c>
      <c r="F199" s="14" t="s">
        <v>310</v>
      </c>
      <c r="G199" s="14" t="s">
        <v>78</v>
      </c>
      <c r="H199" s="1">
        <v>44706</v>
      </c>
      <c r="I199" s="14" t="s">
        <v>94</v>
      </c>
    </row>
    <row r="200" spans="1:9" x14ac:dyDescent="0.25">
      <c r="A200" s="14" t="s">
        <v>566</v>
      </c>
      <c r="B200" s="14" t="s">
        <v>52</v>
      </c>
      <c r="C200" s="14" t="s">
        <v>125</v>
      </c>
      <c r="D200" s="1">
        <v>34245</v>
      </c>
      <c r="E200" s="14" t="s">
        <v>10</v>
      </c>
      <c r="F200" s="14" t="s">
        <v>311</v>
      </c>
      <c r="G200" s="14" t="s">
        <v>57</v>
      </c>
      <c r="H200" s="1">
        <v>44972</v>
      </c>
      <c r="I200" s="14" t="s">
        <v>27</v>
      </c>
    </row>
    <row r="201" spans="1:9" x14ac:dyDescent="0.25">
      <c r="A201" s="54" t="s">
        <v>567</v>
      </c>
      <c r="B201" s="55" t="s">
        <v>231</v>
      </c>
      <c r="C201" s="55" t="s">
        <v>130</v>
      </c>
      <c r="D201" s="15">
        <v>38074</v>
      </c>
      <c r="E201" s="55" t="s">
        <v>30</v>
      </c>
      <c r="F201" s="55" t="s">
        <v>312</v>
      </c>
      <c r="G201" s="55" t="s">
        <v>22</v>
      </c>
      <c r="H201" s="15">
        <v>43937</v>
      </c>
      <c r="I201" s="56" t="s">
        <v>100</v>
      </c>
    </row>
    <row r="202" spans="1:9" x14ac:dyDescent="0.25">
      <c r="A202" s="14" t="s">
        <v>568</v>
      </c>
      <c r="B202" s="14" t="s">
        <v>19</v>
      </c>
      <c r="C202" s="14" t="s">
        <v>66</v>
      </c>
      <c r="D202" s="1">
        <v>36414</v>
      </c>
      <c r="E202" s="14" t="s">
        <v>10</v>
      </c>
      <c r="F202" s="14" t="s">
        <v>313</v>
      </c>
      <c r="G202" s="14" t="s">
        <v>89</v>
      </c>
      <c r="H202" s="1">
        <v>44301</v>
      </c>
      <c r="I202" s="14" t="s">
        <v>78</v>
      </c>
    </row>
    <row r="203" spans="1:9" x14ac:dyDescent="0.25">
      <c r="A203" s="14" t="s">
        <v>569</v>
      </c>
      <c r="B203" s="14" t="s">
        <v>23</v>
      </c>
      <c r="C203" s="14" t="s">
        <v>9</v>
      </c>
      <c r="D203" s="1">
        <v>37817</v>
      </c>
      <c r="E203" s="14" t="s">
        <v>10</v>
      </c>
      <c r="F203" s="14" t="s">
        <v>314</v>
      </c>
      <c r="G203" s="14" t="s">
        <v>38</v>
      </c>
      <c r="H203" s="1">
        <v>45025</v>
      </c>
      <c r="I203" s="14" t="s">
        <v>94</v>
      </c>
    </row>
    <row r="204" spans="1:9" x14ac:dyDescent="0.25">
      <c r="A204" s="14" t="s">
        <v>570</v>
      </c>
      <c r="B204" s="14" t="s">
        <v>114</v>
      </c>
      <c r="C204" s="14" t="s">
        <v>133</v>
      </c>
      <c r="D204" s="1">
        <v>36431</v>
      </c>
      <c r="E204" s="14" t="s">
        <v>10</v>
      </c>
      <c r="F204" s="14" t="s">
        <v>315</v>
      </c>
      <c r="G204" s="14" t="s">
        <v>73</v>
      </c>
      <c r="H204" s="1">
        <v>44931</v>
      </c>
      <c r="I204" s="14" t="s">
        <v>13</v>
      </c>
    </row>
    <row r="205" spans="1:9" x14ac:dyDescent="0.25">
      <c r="A205" s="14" t="s">
        <v>571</v>
      </c>
      <c r="B205" s="14" t="s">
        <v>138</v>
      </c>
      <c r="C205" s="14" t="s">
        <v>15</v>
      </c>
      <c r="D205" s="1">
        <v>32983</v>
      </c>
      <c r="E205" s="14" t="s">
        <v>30</v>
      </c>
      <c r="F205" s="14" t="s">
        <v>316</v>
      </c>
      <c r="G205" s="14" t="s">
        <v>46</v>
      </c>
      <c r="H205" s="1">
        <v>44731</v>
      </c>
      <c r="I205" s="14" t="s">
        <v>22</v>
      </c>
    </row>
    <row r="206" spans="1:9" x14ac:dyDescent="0.25">
      <c r="A206" s="14" t="s">
        <v>572</v>
      </c>
      <c r="B206" s="14" t="s">
        <v>317</v>
      </c>
      <c r="C206" s="14" t="s">
        <v>161</v>
      </c>
      <c r="D206" s="1">
        <v>34236</v>
      </c>
      <c r="E206" s="14" t="s">
        <v>10</v>
      </c>
      <c r="F206" s="14" t="s">
        <v>318</v>
      </c>
      <c r="G206" s="14" t="s">
        <v>42</v>
      </c>
      <c r="H206" s="1">
        <v>44274</v>
      </c>
      <c r="I206" s="14" t="s">
        <v>51</v>
      </c>
    </row>
    <row r="207" spans="1:9" x14ac:dyDescent="0.25">
      <c r="A207" s="14" t="s">
        <v>573</v>
      </c>
      <c r="B207" s="14" t="s">
        <v>112</v>
      </c>
      <c r="C207" s="14" t="s">
        <v>130</v>
      </c>
      <c r="D207" s="1">
        <v>32949</v>
      </c>
      <c r="E207" s="14" t="s">
        <v>30</v>
      </c>
      <c r="F207" s="14" t="s">
        <v>319</v>
      </c>
      <c r="G207" s="14" t="s">
        <v>42</v>
      </c>
      <c r="H207" s="1">
        <v>44546</v>
      </c>
      <c r="I207" s="14" t="s">
        <v>32</v>
      </c>
    </row>
    <row r="208" spans="1:9" x14ac:dyDescent="0.25">
      <c r="A208" s="14" t="s">
        <v>574</v>
      </c>
      <c r="B208" s="14" t="s">
        <v>192</v>
      </c>
      <c r="C208" s="14" t="s">
        <v>20</v>
      </c>
      <c r="D208" s="1">
        <v>34542</v>
      </c>
      <c r="E208" s="14" t="s">
        <v>30</v>
      </c>
      <c r="F208" s="14" t="s">
        <v>320</v>
      </c>
      <c r="G208" s="14" t="s">
        <v>147</v>
      </c>
      <c r="H208" s="1">
        <v>45175</v>
      </c>
      <c r="I208" s="14" t="s">
        <v>65</v>
      </c>
    </row>
    <row r="209" spans="1:9" x14ac:dyDescent="0.25">
      <c r="A209" s="14" t="s">
        <v>575</v>
      </c>
      <c r="B209" s="14" t="s">
        <v>120</v>
      </c>
      <c r="C209" s="14" t="s">
        <v>63</v>
      </c>
      <c r="D209" s="1">
        <v>38003</v>
      </c>
      <c r="E209" s="14" t="s">
        <v>30</v>
      </c>
      <c r="F209" s="14" t="s">
        <v>321</v>
      </c>
      <c r="G209" s="14" t="s">
        <v>13</v>
      </c>
      <c r="H209" s="1">
        <v>44315</v>
      </c>
      <c r="I209" s="14" t="s">
        <v>89</v>
      </c>
    </row>
    <row r="210" spans="1:9" x14ac:dyDescent="0.25">
      <c r="A210" s="14" t="s">
        <v>576</v>
      </c>
      <c r="B210" s="14" t="s">
        <v>86</v>
      </c>
      <c r="C210" s="14" t="s">
        <v>125</v>
      </c>
      <c r="D210" s="1">
        <v>36000</v>
      </c>
      <c r="E210" s="14" t="s">
        <v>10</v>
      </c>
      <c r="F210" s="14" t="s">
        <v>322</v>
      </c>
      <c r="G210" s="14" t="s">
        <v>32</v>
      </c>
      <c r="H210" s="1">
        <v>45099</v>
      </c>
      <c r="I210" s="14" t="s">
        <v>100</v>
      </c>
    </row>
    <row r="211" spans="1:9" x14ac:dyDescent="0.25">
      <c r="A211" s="14" t="s">
        <v>577</v>
      </c>
      <c r="B211" s="14" t="s">
        <v>187</v>
      </c>
      <c r="C211" s="14" t="s">
        <v>29</v>
      </c>
      <c r="D211" s="1">
        <v>36619</v>
      </c>
      <c r="E211" s="14" t="s">
        <v>10</v>
      </c>
      <c r="F211" s="14" t="s">
        <v>323</v>
      </c>
      <c r="G211" s="14" t="s">
        <v>13</v>
      </c>
      <c r="H211" s="1">
        <v>44912</v>
      </c>
      <c r="I211" s="14" t="s">
        <v>38</v>
      </c>
    </row>
    <row r="212" spans="1:9" x14ac:dyDescent="0.25">
      <c r="A212" s="14" t="s">
        <v>578</v>
      </c>
      <c r="B212" s="14" t="s">
        <v>110</v>
      </c>
      <c r="C212" s="14" t="s">
        <v>106</v>
      </c>
      <c r="D212" s="1">
        <v>37654</v>
      </c>
      <c r="E212" s="14" t="s">
        <v>30</v>
      </c>
      <c r="F212" s="14" t="s">
        <v>324</v>
      </c>
      <c r="G212" s="14" t="s">
        <v>18</v>
      </c>
      <c r="H212" s="1">
        <v>45162</v>
      </c>
      <c r="I212" s="14" t="s">
        <v>73</v>
      </c>
    </row>
    <row r="213" spans="1:9" x14ac:dyDescent="0.25">
      <c r="A213" s="14" t="s">
        <v>579</v>
      </c>
      <c r="B213" s="14" t="s">
        <v>81</v>
      </c>
      <c r="C213" s="14" t="s">
        <v>115</v>
      </c>
      <c r="D213" s="1">
        <v>36020</v>
      </c>
      <c r="E213" s="14" t="s">
        <v>10</v>
      </c>
      <c r="F213" s="14" t="s">
        <v>325</v>
      </c>
      <c r="G213" s="14" t="s">
        <v>18</v>
      </c>
      <c r="H213" s="1">
        <v>44467</v>
      </c>
      <c r="I213" s="14" t="s">
        <v>94</v>
      </c>
    </row>
    <row r="214" spans="1:9" x14ac:dyDescent="0.25">
      <c r="A214" s="14" t="s">
        <v>580</v>
      </c>
      <c r="B214" s="14" t="s">
        <v>33</v>
      </c>
      <c r="C214" s="14" t="s">
        <v>71</v>
      </c>
      <c r="D214" s="1">
        <v>36040</v>
      </c>
      <c r="E214" s="14" t="s">
        <v>30</v>
      </c>
      <c r="F214" s="14" t="s">
        <v>326</v>
      </c>
      <c r="G214" s="14" t="s">
        <v>46</v>
      </c>
      <c r="H214" s="1">
        <v>44205</v>
      </c>
      <c r="I214" s="14" t="s">
        <v>51</v>
      </c>
    </row>
    <row r="215" spans="1:9" x14ac:dyDescent="0.25">
      <c r="A215" s="14" t="s">
        <v>581</v>
      </c>
      <c r="B215" s="14" t="s">
        <v>19</v>
      </c>
      <c r="C215" s="14" t="s">
        <v>9</v>
      </c>
      <c r="D215" s="1">
        <v>36946</v>
      </c>
      <c r="E215" s="14" t="s">
        <v>10</v>
      </c>
      <c r="F215" s="14" t="s">
        <v>327</v>
      </c>
      <c r="G215" s="14" t="s">
        <v>147</v>
      </c>
      <c r="H215" s="1">
        <v>45059</v>
      </c>
      <c r="I215" s="14" t="s">
        <v>26</v>
      </c>
    </row>
    <row r="216" spans="1:9" x14ac:dyDescent="0.25">
      <c r="A216" s="14" t="s">
        <v>582</v>
      </c>
      <c r="B216" s="14" t="s">
        <v>33</v>
      </c>
      <c r="C216" s="14" t="s">
        <v>49</v>
      </c>
      <c r="D216" s="1">
        <v>33408</v>
      </c>
      <c r="E216" s="14" t="s">
        <v>30</v>
      </c>
      <c r="F216" s="14" t="s">
        <v>328</v>
      </c>
      <c r="G216" s="14" t="s">
        <v>46</v>
      </c>
      <c r="H216" s="1">
        <v>44743</v>
      </c>
      <c r="I216" s="14" t="s">
        <v>22</v>
      </c>
    </row>
    <row r="217" spans="1:9" x14ac:dyDescent="0.25">
      <c r="A217" s="14" t="s">
        <v>583</v>
      </c>
      <c r="B217" s="14" t="s">
        <v>43</v>
      </c>
      <c r="C217" s="14" t="s">
        <v>75</v>
      </c>
      <c r="D217" s="1">
        <v>33203</v>
      </c>
      <c r="E217" s="14" t="s">
        <v>10</v>
      </c>
      <c r="F217" s="14" t="s">
        <v>329</v>
      </c>
      <c r="G217" s="14" t="s">
        <v>61</v>
      </c>
      <c r="H217" s="1">
        <v>44184</v>
      </c>
      <c r="I217" s="14" t="s">
        <v>22</v>
      </c>
    </row>
    <row r="218" spans="1:9" x14ac:dyDescent="0.25">
      <c r="A218" s="14" t="s">
        <v>584</v>
      </c>
      <c r="B218" s="14" t="s">
        <v>120</v>
      </c>
      <c r="C218" s="14" t="s">
        <v>9</v>
      </c>
      <c r="D218" s="1">
        <v>34581</v>
      </c>
      <c r="E218" s="14" t="s">
        <v>30</v>
      </c>
      <c r="F218" s="14" t="s">
        <v>330</v>
      </c>
      <c r="G218" s="14" t="s">
        <v>147</v>
      </c>
      <c r="H218" s="1">
        <v>45263</v>
      </c>
      <c r="I218" s="14" t="s">
        <v>32</v>
      </c>
    </row>
    <row r="219" spans="1:9" x14ac:dyDescent="0.25">
      <c r="A219" s="14" t="s">
        <v>585</v>
      </c>
      <c r="B219" s="14" t="s">
        <v>167</v>
      </c>
      <c r="C219" s="14" t="s">
        <v>63</v>
      </c>
      <c r="D219" s="1">
        <v>34433</v>
      </c>
      <c r="E219" s="14" t="s">
        <v>10</v>
      </c>
      <c r="F219" s="14" t="s">
        <v>331</v>
      </c>
      <c r="G219" s="14" t="s">
        <v>13</v>
      </c>
      <c r="H219" s="1">
        <v>44509</v>
      </c>
      <c r="I219" s="14" t="s">
        <v>78</v>
      </c>
    </row>
    <row r="220" spans="1:9" x14ac:dyDescent="0.25">
      <c r="A220" s="14" t="s">
        <v>586</v>
      </c>
      <c r="B220" s="14" t="s">
        <v>55</v>
      </c>
      <c r="C220" s="14" t="s">
        <v>59</v>
      </c>
      <c r="D220" s="1">
        <v>33640</v>
      </c>
      <c r="E220" s="14" t="s">
        <v>10</v>
      </c>
      <c r="F220" s="14" t="s">
        <v>332</v>
      </c>
      <c r="G220" s="14" t="s">
        <v>22</v>
      </c>
      <c r="H220" s="1">
        <v>45143</v>
      </c>
      <c r="I220" s="14" t="s">
        <v>77</v>
      </c>
    </row>
    <row r="221" spans="1:9" x14ac:dyDescent="0.25">
      <c r="A221" s="14" t="s">
        <v>587</v>
      </c>
      <c r="B221" s="14" t="s">
        <v>62</v>
      </c>
      <c r="C221" s="14" t="s">
        <v>49</v>
      </c>
      <c r="D221" s="1">
        <v>34995</v>
      </c>
      <c r="E221" s="14" t="s">
        <v>10</v>
      </c>
      <c r="F221" s="14" t="s">
        <v>333</v>
      </c>
      <c r="G221" s="14" t="s">
        <v>77</v>
      </c>
      <c r="H221" s="1">
        <v>44483</v>
      </c>
      <c r="I221" s="14" t="s">
        <v>100</v>
      </c>
    </row>
    <row r="222" spans="1:9" x14ac:dyDescent="0.25">
      <c r="A222" s="14" t="s">
        <v>588</v>
      </c>
      <c r="B222" s="14" t="s">
        <v>108</v>
      </c>
      <c r="C222" s="14" t="s">
        <v>82</v>
      </c>
      <c r="D222" s="1">
        <v>33383</v>
      </c>
      <c r="E222" s="14" t="s">
        <v>10</v>
      </c>
      <c r="F222" s="14" t="s">
        <v>334</v>
      </c>
      <c r="G222" s="14" t="s">
        <v>26</v>
      </c>
      <c r="H222" s="1">
        <v>43909</v>
      </c>
      <c r="I222" s="14" t="s">
        <v>94</v>
      </c>
    </row>
    <row r="223" spans="1:9" x14ac:dyDescent="0.25">
      <c r="A223" s="14" t="s">
        <v>589</v>
      </c>
      <c r="B223" s="14" t="s">
        <v>39</v>
      </c>
      <c r="C223" s="14" t="s">
        <v>90</v>
      </c>
      <c r="D223" s="1">
        <v>35503</v>
      </c>
      <c r="E223" s="14" t="s">
        <v>30</v>
      </c>
      <c r="F223" s="14" t="s">
        <v>335</v>
      </c>
      <c r="G223" s="14" t="s">
        <v>147</v>
      </c>
      <c r="H223" s="1">
        <v>43931</v>
      </c>
      <c r="I223" s="14" t="s">
        <v>73</v>
      </c>
    </row>
    <row r="224" spans="1:9" x14ac:dyDescent="0.25">
      <c r="A224" s="14" t="s">
        <v>590</v>
      </c>
      <c r="B224" s="14" t="s">
        <v>167</v>
      </c>
      <c r="C224" s="14" t="s">
        <v>133</v>
      </c>
      <c r="D224" s="1">
        <v>36188</v>
      </c>
      <c r="E224" s="14" t="s">
        <v>10</v>
      </c>
      <c r="F224" s="14" t="s">
        <v>336</v>
      </c>
      <c r="G224" s="14" t="s">
        <v>68</v>
      </c>
      <c r="H224" s="1">
        <v>44850</v>
      </c>
      <c r="I224" s="14" t="s">
        <v>77</v>
      </c>
    </row>
    <row r="225" spans="1:9" x14ac:dyDescent="0.25">
      <c r="A225" s="14" t="s">
        <v>591</v>
      </c>
      <c r="B225" s="14" t="s">
        <v>171</v>
      </c>
      <c r="C225" s="14" t="s">
        <v>82</v>
      </c>
      <c r="D225" s="1">
        <v>34814</v>
      </c>
      <c r="E225" s="14" t="s">
        <v>30</v>
      </c>
      <c r="F225" s="14" t="s">
        <v>337</v>
      </c>
      <c r="G225" s="14" t="s">
        <v>22</v>
      </c>
      <c r="H225" s="1">
        <v>44009</v>
      </c>
      <c r="I225" s="14" t="s">
        <v>38</v>
      </c>
    </row>
    <row r="226" spans="1:9" x14ac:dyDescent="0.25">
      <c r="A226" s="14" t="s">
        <v>592</v>
      </c>
      <c r="B226" s="14" t="s">
        <v>114</v>
      </c>
      <c r="C226" s="14" t="s">
        <v>49</v>
      </c>
      <c r="D226" s="1">
        <v>38093</v>
      </c>
      <c r="E226" s="14" t="s">
        <v>10</v>
      </c>
      <c r="F226" s="14" t="s">
        <v>338</v>
      </c>
      <c r="G226" s="14" t="s">
        <v>89</v>
      </c>
      <c r="H226" s="1">
        <v>43879</v>
      </c>
      <c r="I226" s="14" t="s">
        <v>57</v>
      </c>
    </row>
    <row r="227" spans="1:9" x14ac:dyDescent="0.25">
      <c r="A227" s="14" t="s">
        <v>593</v>
      </c>
      <c r="B227" s="14" t="s">
        <v>167</v>
      </c>
      <c r="C227" s="14" t="s">
        <v>96</v>
      </c>
      <c r="D227" s="1">
        <v>36360</v>
      </c>
      <c r="E227" s="14" t="s">
        <v>10</v>
      </c>
      <c r="F227" s="14" t="s">
        <v>339</v>
      </c>
      <c r="G227" s="14" t="s">
        <v>51</v>
      </c>
      <c r="H227" s="1">
        <v>44392</v>
      </c>
      <c r="I227" s="14" t="s">
        <v>73</v>
      </c>
    </row>
    <row r="228" spans="1:9" x14ac:dyDescent="0.25">
      <c r="A228" s="14" t="s">
        <v>594</v>
      </c>
      <c r="B228" s="14" t="s">
        <v>48</v>
      </c>
      <c r="C228" s="14" t="s">
        <v>49</v>
      </c>
      <c r="D228" s="1">
        <v>38121</v>
      </c>
      <c r="E228" s="14" t="s">
        <v>10</v>
      </c>
      <c r="F228" s="14" t="s">
        <v>340</v>
      </c>
      <c r="G228" s="14" t="s">
        <v>42</v>
      </c>
      <c r="H228" s="1">
        <v>44008</v>
      </c>
      <c r="I228" s="14" t="s">
        <v>94</v>
      </c>
    </row>
    <row r="229" spans="1:9" x14ac:dyDescent="0.25">
      <c r="A229" s="14" t="s">
        <v>595</v>
      </c>
      <c r="B229" s="14" t="s">
        <v>136</v>
      </c>
      <c r="C229" s="14" t="s">
        <v>53</v>
      </c>
      <c r="D229" s="1">
        <v>33276</v>
      </c>
      <c r="E229" s="14" t="s">
        <v>30</v>
      </c>
      <c r="F229" s="14" t="s">
        <v>341</v>
      </c>
      <c r="G229" s="14" t="s">
        <v>100</v>
      </c>
      <c r="H229" s="1">
        <v>44563</v>
      </c>
      <c r="I229" s="14" t="s">
        <v>18</v>
      </c>
    </row>
    <row r="230" spans="1:9" x14ac:dyDescent="0.25">
      <c r="A230" s="14" t="s">
        <v>596</v>
      </c>
      <c r="B230" s="14" t="s">
        <v>177</v>
      </c>
      <c r="C230" s="14" t="s">
        <v>24</v>
      </c>
      <c r="D230" s="1">
        <v>33272</v>
      </c>
      <c r="E230" s="14" t="s">
        <v>30</v>
      </c>
      <c r="F230" s="14" t="s">
        <v>342</v>
      </c>
      <c r="G230" s="14" t="s">
        <v>57</v>
      </c>
      <c r="H230" s="1">
        <v>44288</v>
      </c>
      <c r="I230" s="14" t="s">
        <v>26</v>
      </c>
    </row>
    <row r="231" spans="1:9" x14ac:dyDescent="0.25">
      <c r="A231" s="14" t="s">
        <v>597</v>
      </c>
      <c r="B231" s="14" t="s">
        <v>163</v>
      </c>
      <c r="C231" s="14" t="s">
        <v>71</v>
      </c>
      <c r="D231" s="1">
        <v>38320</v>
      </c>
      <c r="E231" s="14" t="s">
        <v>10</v>
      </c>
      <c r="F231" s="14" t="s">
        <v>343</v>
      </c>
      <c r="G231" s="14" t="s">
        <v>61</v>
      </c>
      <c r="H231" s="1">
        <v>45234</v>
      </c>
      <c r="I231" s="14" t="s">
        <v>32</v>
      </c>
    </row>
    <row r="232" spans="1:9" x14ac:dyDescent="0.25">
      <c r="A232" s="14" t="s">
        <v>598</v>
      </c>
      <c r="B232" s="14" t="s">
        <v>33</v>
      </c>
      <c r="C232" s="14" t="s">
        <v>66</v>
      </c>
      <c r="D232" s="1">
        <v>37544</v>
      </c>
      <c r="E232" s="14" t="s">
        <v>30</v>
      </c>
      <c r="F232" s="14" t="s">
        <v>344</v>
      </c>
      <c r="G232" s="14" t="s">
        <v>47</v>
      </c>
      <c r="H232" s="1">
        <v>44555</v>
      </c>
      <c r="I232" s="14" t="s">
        <v>18</v>
      </c>
    </row>
    <row r="233" spans="1:9" x14ac:dyDescent="0.25">
      <c r="A233" s="14" t="s">
        <v>599</v>
      </c>
      <c r="B233" s="14" t="s">
        <v>167</v>
      </c>
      <c r="C233" s="14" t="s">
        <v>103</v>
      </c>
      <c r="D233" s="1">
        <v>35480</v>
      </c>
      <c r="E233" s="14" t="s">
        <v>10</v>
      </c>
      <c r="F233" s="14" t="s">
        <v>345</v>
      </c>
      <c r="G233" s="14" t="s">
        <v>73</v>
      </c>
      <c r="H233" s="1">
        <v>44547</v>
      </c>
      <c r="I233" s="14" t="s">
        <v>57</v>
      </c>
    </row>
    <row r="234" spans="1:9" x14ac:dyDescent="0.25">
      <c r="A234" s="14" t="s">
        <v>600</v>
      </c>
      <c r="B234" s="14" t="s">
        <v>129</v>
      </c>
      <c r="C234" s="14" t="s">
        <v>63</v>
      </c>
      <c r="D234" s="1">
        <v>34175</v>
      </c>
      <c r="E234" s="14" t="s">
        <v>30</v>
      </c>
      <c r="F234" s="14" t="s">
        <v>346</v>
      </c>
      <c r="G234" s="14" t="s">
        <v>13</v>
      </c>
      <c r="H234" s="1">
        <v>44663</v>
      </c>
      <c r="I234" s="14" t="s">
        <v>100</v>
      </c>
    </row>
    <row r="235" spans="1:9" x14ac:dyDescent="0.25">
      <c r="A235" s="14" t="s">
        <v>601</v>
      </c>
      <c r="B235" s="14" t="s">
        <v>112</v>
      </c>
      <c r="C235" s="14" t="s">
        <v>63</v>
      </c>
      <c r="D235" s="1">
        <v>35180</v>
      </c>
      <c r="E235" s="14" t="s">
        <v>30</v>
      </c>
      <c r="F235" s="14" t="s">
        <v>347</v>
      </c>
      <c r="G235" s="14" t="s">
        <v>17</v>
      </c>
      <c r="H235" s="1">
        <v>44305</v>
      </c>
      <c r="I235" s="14" t="s">
        <v>147</v>
      </c>
    </row>
    <row r="236" spans="1:9" x14ac:dyDescent="0.25">
      <c r="A236" s="14" t="s">
        <v>602</v>
      </c>
      <c r="B236" s="14" t="s">
        <v>154</v>
      </c>
      <c r="C236" s="14" t="s">
        <v>277</v>
      </c>
      <c r="D236" s="1">
        <v>33678</v>
      </c>
      <c r="E236" s="14" t="s">
        <v>30</v>
      </c>
      <c r="F236" s="14" t="s">
        <v>348</v>
      </c>
      <c r="G236" s="14" t="s">
        <v>77</v>
      </c>
      <c r="H236" s="1">
        <v>45243</v>
      </c>
      <c r="I236" s="14" t="s">
        <v>18</v>
      </c>
    </row>
    <row r="237" spans="1:9" x14ac:dyDescent="0.25">
      <c r="A237" s="14" t="s">
        <v>603</v>
      </c>
      <c r="B237" s="14" t="s">
        <v>62</v>
      </c>
      <c r="C237" s="14" t="s">
        <v>24</v>
      </c>
      <c r="D237" s="1">
        <v>34476</v>
      </c>
      <c r="E237" s="14" t="s">
        <v>10</v>
      </c>
      <c r="F237" s="14" t="s">
        <v>349</v>
      </c>
      <c r="G237" s="14" t="s">
        <v>42</v>
      </c>
      <c r="H237" s="1">
        <v>44903</v>
      </c>
      <c r="I237" s="14" t="s">
        <v>13</v>
      </c>
    </row>
    <row r="238" spans="1:9" x14ac:dyDescent="0.25">
      <c r="A238" s="14" t="s">
        <v>604</v>
      </c>
      <c r="B238" s="14" t="s">
        <v>118</v>
      </c>
      <c r="C238" s="14" t="s">
        <v>75</v>
      </c>
      <c r="D238" s="1">
        <v>34277</v>
      </c>
      <c r="E238" s="14" t="s">
        <v>10</v>
      </c>
      <c r="F238" s="14" t="s">
        <v>350</v>
      </c>
      <c r="G238" s="14" t="s">
        <v>94</v>
      </c>
      <c r="H238" s="1">
        <v>44828</v>
      </c>
      <c r="I238" s="14" t="s">
        <v>27</v>
      </c>
    </row>
    <row r="239" spans="1:9" x14ac:dyDescent="0.25">
      <c r="A239" s="14" t="s">
        <v>605</v>
      </c>
      <c r="B239" s="14" t="s">
        <v>154</v>
      </c>
      <c r="C239" s="14" t="s">
        <v>90</v>
      </c>
      <c r="D239" s="1">
        <v>36305</v>
      </c>
      <c r="E239" s="14" t="s">
        <v>30</v>
      </c>
      <c r="F239" s="14" t="s">
        <v>351</v>
      </c>
      <c r="G239" s="14" t="s">
        <v>94</v>
      </c>
      <c r="H239" s="1">
        <v>44625</v>
      </c>
      <c r="I239" s="14" t="s">
        <v>27</v>
      </c>
    </row>
    <row r="240" spans="1:9" x14ac:dyDescent="0.25">
      <c r="A240" s="14" t="s">
        <v>606</v>
      </c>
      <c r="B240" s="14" t="s">
        <v>187</v>
      </c>
      <c r="C240" s="14" t="s">
        <v>96</v>
      </c>
      <c r="D240" s="1">
        <v>34878</v>
      </c>
      <c r="E240" s="14" t="s">
        <v>10</v>
      </c>
      <c r="F240" s="14" t="s">
        <v>352</v>
      </c>
      <c r="G240" s="14" t="s">
        <v>61</v>
      </c>
      <c r="H240" s="1">
        <v>45032</v>
      </c>
      <c r="I240" s="14" t="s">
        <v>13</v>
      </c>
    </row>
    <row r="241" spans="1:9" x14ac:dyDescent="0.25">
      <c r="A241" s="14" t="s">
        <v>607</v>
      </c>
      <c r="B241" s="14" t="s">
        <v>195</v>
      </c>
      <c r="C241" s="14" t="s">
        <v>106</v>
      </c>
      <c r="D241" s="1">
        <v>36632</v>
      </c>
      <c r="E241" s="14" t="s">
        <v>10</v>
      </c>
      <c r="F241" s="14" t="s">
        <v>353</v>
      </c>
      <c r="G241" s="14" t="s">
        <v>38</v>
      </c>
      <c r="H241" s="1">
        <v>44043</v>
      </c>
      <c r="I241" s="14" t="s">
        <v>147</v>
      </c>
    </row>
    <row r="242" spans="1:9" x14ac:dyDescent="0.25">
      <c r="A242" s="14" t="s">
        <v>608</v>
      </c>
      <c r="B242" s="14" t="s">
        <v>171</v>
      </c>
      <c r="C242" s="14" t="s">
        <v>59</v>
      </c>
      <c r="D242" s="1">
        <v>34883</v>
      </c>
      <c r="E242" s="14" t="s">
        <v>30</v>
      </c>
      <c r="F242" s="14" t="s">
        <v>354</v>
      </c>
      <c r="G242" s="14" t="s">
        <v>94</v>
      </c>
      <c r="H242" s="1">
        <v>45140</v>
      </c>
      <c r="I242" s="14" t="s">
        <v>22</v>
      </c>
    </row>
    <row r="243" spans="1:9" x14ac:dyDescent="0.25">
      <c r="A243" s="14" t="s">
        <v>609</v>
      </c>
      <c r="B243" s="14" t="s">
        <v>48</v>
      </c>
      <c r="C243" s="14" t="s">
        <v>40</v>
      </c>
      <c r="D243" s="1">
        <v>34605</v>
      </c>
      <c r="E243" s="14" t="s">
        <v>10</v>
      </c>
      <c r="F243" s="14" t="s">
        <v>355</v>
      </c>
      <c r="G243" s="14" t="s">
        <v>73</v>
      </c>
      <c r="H243" s="1">
        <v>44436</v>
      </c>
      <c r="I243" s="14" t="s">
        <v>94</v>
      </c>
    </row>
    <row r="244" spans="1:9" x14ac:dyDescent="0.25">
      <c r="A244" s="14" t="s">
        <v>610</v>
      </c>
      <c r="B244" s="14" t="s">
        <v>317</v>
      </c>
      <c r="C244" s="14" t="s">
        <v>20</v>
      </c>
      <c r="D244" s="1">
        <v>35232</v>
      </c>
      <c r="E244" s="14" t="s">
        <v>10</v>
      </c>
      <c r="F244" s="14" t="s">
        <v>356</v>
      </c>
      <c r="G244" s="14" t="s">
        <v>73</v>
      </c>
      <c r="H244" s="1">
        <v>44128</v>
      </c>
      <c r="I244" s="14" t="s">
        <v>57</v>
      </c>
    </row>
    <row r="245" spans="1:9" x14ac:dyDescent="0.25">
      <c r="A245" s="14" t="s">
        <v>611</v>
      </c>
      <c r="B245" s="14" t="s">
        <v>43</v>
      </c>
      <c r="C245" s="14" t="s">
        <v>44</v>
      </c>
      <c r="D245" s="1">
        <v>35644</v>
      </c>
      <c r="E245" s="14" t="s">
        <v>10</v>
      </c>
      <c r="F245" s="14" t="s">
        <v>357</v>
      </c>
      <c r="G245" s="14" t="s">
        <v>26</v>
      </c>
      <c r="H245" s="1">
        <v>44433</v>
      </c>
      <c r="I245" s="14" t="s">
        <v>42</v>
      </c>
    </row>
    <row r="246" spans="1:9" x14ac:dyDescent="0.25">
      <c r="A246" s="14" t="s">
        <v>612</v>
      </c>
      <c r="B246" s="14" t="s">
        <v>8</v>
      </c>
      <c r="C246" s="14" t="s">
        <v>125</v>
      </c>
      <c r="D246" s="1">
        <v>37722</v>
      </c>
      <c r="E246" s="14" t="s">
        <v>10</v>
      </c>
      <c r="F246" s="14" t="s">
        <v>358</v>
      </c>
      <c r="G246" s="14" t="s">
        <v>38</v>
      </c>
      <c r="H246" s="1">
        <v>44153</v>
      </c>
      <c r="I246" s="14" t="s">
        <v>42</v>
      </c>
    </row>
    <row r="247" spans="1:9" x14ac:dyDescent="0.25">
      <c r="A247" s="14" t="s">
        <v>613</v>
      </c>
      <c r="B247" s="14" t="s">
        <v>62</v>
      </c>
      <c r="C247" s="14" t="s">
        <v>29</v>
      </c>
      <c r="D247" s="1">
        <v>37596</v>
      </c>
      <c r="E247" s="14" t="s">
        <v>10</v>
      </c>
      <c r="F247" s="14" t="s">
        <v>359</v>
      </c>
      <c r="G247" s="14" t="s">
        <v>47</v>
      </c>
      <c r="H247" s="1">
        <v>44753</v>
      </c>
      <c r="I247" s="14" t="s">
        <v>65</v>
      </c>
    </row>
    <row r="248" spans="1:9" x14ac:dyDescent="0.25">
      <c r="A248" s="14" t="s">
        <v>614</v>
      </c>
      <c r="B248" s="14" t="s">
        <v>14</v>
      </c>
      <c r="C248" s="14" t="s">
        <v>40</v>
      </c>
      <c r="D248" s="1">
        <v>35108</v>
      </c>
      <c r="E248" s="14" t="s">
        <v>10</v>
      </c>
      <c r="F248" s="14" t="s">
        <v>360</v>
      </c>
      <c r="G248" s="14" t="s">
        <v>94</v>
      </c>
      <c r="H248" s="1">
        <v>44406</v>
      </c>
      <c r="I248" s="14" t="s">
        <v>61</v>
      </c>
    </row>
    <row r="249" spans="1:9" x14ac:dyDescent="0.25">
      <c r="A249" s="14" t="s">
        <v>615</v>
      </c>
      <c r="B249" s="14" t="s">
        <v>167</v>
      </c>
      <c r="C249" s="14" t="s">
        <v>49</v>
      </c>
      <c r="D249" s="1">
        <v>38084</v>
      </c>
      <c r="E249" s="14" t="s">
        <v>10</v>
      </c>
      <c r="F249" s="14" t="s">
        <v>361</v>
      </c>
      <c r="G249" s="14" t="s">
        <v>61</v>
      </c>
      <c r="H249" s="1">
        <v>44135</v>
      </c>
      <c r="I249" s="14" t="s">
        <v>18</v>
      </c>
    </row>
    <row r="250" spans="1:9" x14ac:dyDescent="0.25">
      <c r="A250" s="14" t="s">
        <v>616</v>
      </c>
      <c r="B250" s="14" t="s">
        <v>114</v>
      </c>
      <c r="C250" s="14" t="s">
        <v>103</v>
      </c>
      <c r="D250" s="1">
        <v>37556</v>
      </c>
      <c r="E250" s="14" t="s">
        <v>10</v>
      </c>
      <c r="F250" s="14" t="s">
        <v>362</v>
      </c>
      <c r="G250" s="14" t="s">
        <v>22</v>
      </c>
      <c r="H250" s="1">
        <v>44584</v>
      </c>
      <c r="I250" s="14" t="s">
        <v>65</v>
      </c>
    </row>
    <row r="251" spans="1:9" x14ac:dyDescent="0.25">
      <c r="A251" s="14" t="s">
        <v>617</v>
      </c>
      <c r="B251" s="14" t="s">
        <v>35</v>
      </c>
      <c r="C251" s="14" t="s">
        <v>150</v>
      </c>
      <c r="D251" s="1">
        <v>35170</v>
      </c>
      <c r="E251" s="14" t="s">
        <v>10</v>
      </c>
      <c r="F251" s="14" t="s">
        <v>363</v>
      </c>
      <c r="G251" s="14" t="s">
        <v>89</v>
      </c>
      <c r="H251" s="1">
        <v>44436</v>
      </c>
      <c r="I251" s="14" t="s">
        <v>32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8A4C0D-9C4A-41E2-8C7E-0C0624AF7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Gestione</vt:lpstr>
      <vt:lpstr>Analisi Candidati</vt:lpstr>
      <vt:lpstr>Dati Candidati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Marchese</dc:creator>
  <cp:lastModifiedBy>Francesco Marchese</cp:lastModifiedBy>
  <dcterms:created xsi:type="dcterms:W3CDTF">2015-06-05T18:19:34Z</dcterms:created>
  <dcterms:modified xsi:type="dcterms:W3CDTF">2023-12-22T21:22:37Z</dcterms:modified>
</cp:coreProperties>
</file>